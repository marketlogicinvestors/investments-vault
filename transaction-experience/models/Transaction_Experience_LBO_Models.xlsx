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Summary" sheetId="2" state="visible" r:id="rId4"/>
    <sheet name="P01 KKR-Varsity 2024" sheetId="3" state="visible" r:id="rId5"/>
    <sheet name="P02 Bain-Varsity 2018" sheetId="4" state="visible" r:id="rId6"/>
    <sheet name="P03 Charlesbank-Varsity 2014" sheetId="5" state="visible" r:id="rId7"/>
    <sheet name="P04 LGP-Varsity 2003" sheetId="6" state="visible" r:id="rId8"/>
    <sheet name="P05 ONCAP-SportSupply 2010" sheetId="7" state="visible" r:id="rId9"/>
    <sheet name="P06 Cerberus-Chrysler 2007" sheetId="8" state="visible" r:id="rId10"/>
    <sheet name="P07 Caterpillar-Bucyrus 2011" sheetId="9" state="visible" r:id="rId11"/>
    <sheet name="P08 NRG-DirectEnergy 2021" sheetId="10" state="visible" r:id="rId12"/>
    <sheet name="P09 WindPoint-Pacific 2001" sheetId="11" state="visible" r:id="rId13"/>
    <sheet name="P10 Pegasus-Cannondale 2003" sheetId="12" state="visible" r:id="rId14"/>
    <sheet name="P11 Cerberus-Dorel 2021 TERM" sheetId="13" state="visible" r:id="rId15"/>
    <sheet name="F01 KKR-Varsity 2024" sheetId="14" state="visible" r:id="rId16"/>
    <sheet name="F02 Bain-Varsity 2018" sheetId="15" state="visible" r:id="rId17"/>
    <sheet name="F03 Cerberus-Chrysler 2007" sheetId="16" state="visible" r:id="rId18"/>
    <sheet name="F04 CAT-Bucyrus 2011 STRAT" sheetId="17" state="visible" r:id="rId19"/>
    <sheet name="Paper LBO" sheetId="18" state="visible" r:id="rId20"/>
    <sheet name="45 Min LBO Prompt" sheetId="19" state="visible" r:id="rId21"/>
    <sheet name="LBO Model Solution" sheetId="20" state="visible" r:id="rId22"/>
  </sheets>
  <definedNames>
    <definedName function="false" hidden="false" name="circ" vbProcedure="false">'LBO Model Solution'!$I$8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<sst xmlns="http://schemas.openxmlformats.org/spreadsheetml/2006/main" count="2339" uniqueCount="458">
  <si>
    <t xml:space="preserve">Transaction Experience — LBO returns models</t>
  </si>
  <si>
    <t xml:space="preserve">Built on the Leland LBO Modeling template (September 2026). The original template sheets are preserved unchanged at the end of the workbook.</t>
  </si>
  <si>
    <t xml:space="preserve">WHAT IS HERE</t>
  </si>
  <si>
    <t xml:space="preserve">Summary — one row per deal with entry structure, underwritten returns (template run on the entry facts) and actual returns where an exit is disclosed.</t>
  </si>
  <si>
    <t xml:space="preserve">P01–P11 — Paper LBO tabs, one per deal, in the template's own layout. Cells B2:J49 are the template; the INPUTS block at L4:P20 drives them and carries a source and a tag for every number. Rows 52–77 hold the actual outcome and notes.</t>
  </si>
  <si>
    <t xml:space="preserve">F01–F04 — Full LBO Model Solution tabs for the four deals with enough filed data: KKR/Varsity 2024, Bain/Varsity 2018, Cerberus/Chrysler 2007, Caterpillar/Bucyrus 2011.</t>
  </si>
  <si>
    <t xml:space="preserve">HOW TO READ THE TAGS</t>
  </si>
  <si>
    <t xml:space="preserve">F = filed or rating-agency figure (SEC filing, court record, Moody's/S&amp;P release, company release).   P = press-reported (Reuters, LCD, Bloomberg, trade press).   A = assumption, shown in blue on a yellow fill. Change any blue cell and the tab recalculates.</t>
  </si>
  <si>
    <t xml:space="preserve">TWO DEALS ARE NOT LBOs</t>
  </si>
  <si>
    <t xml:space="preserve">P07 Caterpillar/Bucyrus and P08 NRG/Direct Energy were strategic acquisitions financed with corporate notes. They are included, with a red banner, because the template mechanics still answer the question "what did the price require", and because both are among the best-documented transactions in the book. Their "equity" is the acquirer's cash, not sponsor equity, and there was no exit.</t>
  </si>
  <si>
    <t xml:space="preserve">ONE DEAL NEVER HAPPENED</t>
  </si>
  <si>
    <t xml:space="preserve">P11 Cerberus + Koch / Dorel was terminated on 15 February 2021 the day before the vote. The tab models the deal as structured in the 1 February 2021 release and, in the actual-outcome block, shows the counterfactual: Dorel sold the Sports segment alone for $810m eleven months later.</t>
  </si>
  <si>
    <t xml:space="preserve">TEMPLATE MECHANICS TO KEEP IN MIND</t>
  </si>
  <si>
    <t xml:space="preserve">The Paper LBO charges interest on opening debt for all five years and accumulates every dollar of levered free cash flow as cash, so it overstates returns slightly versus a model with a debt sweep. The template prices deals on forward EBITDA (cell E10 = F18); the deal tabs point it at LTM EBITDA (E18) because that is how every filed multiple here is quoted.</t>
  </si>
  <si>
    <t xml:space="preserve">The full-model tabs use the template's circularity switch (cell I8 = 1). If Excel warns about a circular reference, enable iterative calculation under File &gt; Options &gt; Formulas. The sensitivity grids are Excel data tables and recompute on open in Excel.</t>
  </si>
  <si>
    <t xml:space="preserve">WHAT COULD NOT BE MODELLED HONESTLY</t>
  </si>
  <si>
    <t xml:space="preserve">One Equity Partners / Progress Rail, Berkshire Partners / EMD, 3i / MWM and Court Square / Offen Petroleum: the sponsor's entry price was never disclosed, so there is no entry structure to model. Their exit prices are in the deal book.</t>
  </si>
  <si>
    <t xml:space="preserve">Compiled 6 September 2026 from the sources listed on each tab. Not investment advice.</t>
  </si>
  <si>
    <t xml:space="preserve">Underwritten case = the template run on the entry structure and stated assumptions. Actual = the realised exit where one exists. All figures US$ millions. Blue cells on the deal tabs are assumptions.</t>
  </si>
  <si>
    <t xml:space="preserve">#</t>
  </si>
  <si>
    <t xml:space="preserve">Deal</t>
  </si>
  <si>
    <t xml:space="preserve">Classification</t>
  </si>
  <si>
    <t xml:space="preserve">Status</t>
  </si>
  <si>
    <t xml:space="preserve">Entry EV</t>
  </si>
  <si>
    <t xml:space="preserve">Entry EBITDA</t>
  </si>
  <si>
    <t xml:space="preserve">Entry x</t>
  </si>
  <si>
    <t xml:space="preserve">Debt</t>
  </si>
  <si>
    <t xml:space="preserve">Leverage x</t>
  </si>
  <si>
    <t xml:space="preserve">Equity</t>
  </si>
  <si>
    <t xml:space="preserve">Exit x</t>
  </si>
  <si>
    <t xml:space="preserve">MoM (uw)</t>
  </si>
  <si>
    <t xml:space="preserve">IRR (uw)</t>
  </si>
  <si>
    <t xml:space="preserve">MoM (actual)</t>
  </si>
  <si>
    <t xml:space="preserve">IRR (actual)</t>
  </si>
  <si>
    <t xml:space="preserve">Full model tab</t>
  </si>
  <si>
    <t xml:space="preserve">KKR / Varsity Brands (2024)</t>
  </si>
  <si>
    <t xml:space="preserve">Sponsor buyout</t>
  </si>
  <si>
    <t xml:space="preserve">Pending (hold)</t>
  </si>
  <si>
    <t xml:space="preserve">n/a</t>
  </si>
  <si>
    <t xml:space="preserve">F01 KKR-Varsity 2024</t>
  </si>
  <si>
    <t xml:space="preserve">Bain Capital / Varsity Brands (2018-24)</t>
  </si>
  <si>
    <t xml:space="preserve">Secondary buyout</t>
  </si>
  <si>
    <t xml:space="preserve">Realised Aug-2024</t>
  </si>
  <si>
    <t xml:space="preserve">F02 Bain-Varsity 2018</t>
  </si>
  <si>
    <t xml:space="preserve">Charlesbank + Partners Group / Varsity Brands (2014-18)</t>
  </si>
  <si>
    <t xml:space="preserve">ESOP buyout</t>
  </si>
  <si>
    <t xml:space="preserve">Realised Jul-2018</t>
  </si>
  <si>
    <t xml:space="preserve">Leonard Green / Varsity Brands (2003-11)</t>
  </si>
  <si>
    <t xml:space="preserve">Take-private (13E-3)</t>
  </si>
  <si>
    <t xml:space="preserve">Realised Aug-2011 (price undisclosed)</t>
  </si>
  <si>
    <t xml:space="preserve">ONCAP / Sport Supply Group (2010-13)</t>
  </si>
  <si>
    <t xml:space="preserve">Take-private with rollover</t>
  </si>
  <si>
    <t xml:space="preserve">Realised Jun-2013 (price undisclosed)</t>
  </si>
  <si>
    <t xml:space="preserve">Cerberus / Chrysler (2007-09)</t>
  </si>
  <si>
    <t xml:space="preserve">Private equity carve-out</t>
  </si>
  <si>
    <t xml:space="preserve">Realised 2009: equity written to zero</t>
  </si>
  <si>
    <t xml:space="preserve">F03 Cerberus-Chrysler 2007</t>
  </si>
  <si>
    <t xml:space="preserve">Caterpillar / Bucyrus (2011) [STRATEGIC]</t>
  </si>
  <si>
    <t xml:space="preserve">STRATEGIC public M&amp;A, debt-financed (not an LBO)</t>
  </si>
  <si>
    <t xml:space="preserve">Held; $595m goodwill impairment Q4-2016</t>
  </si>
  <si>
    <t xml:space="preserve">F04 CAT-Bucyrus 2011 STRAT</t>
  </si>
  <si>
    <t xml:space="preserve">NRG / Direct Energy (2021) [STRATEGIC]</t>
  </si>
  <si>
    <t xml:space="preserve">STRATEGIC corporate carve-out, note-financed (not an LBO)</t>
  </si>
  <si>
    <t xml:space="preserve">Held; $300m synergy programme completed 2023</t>
  </si>
  <si>
    <t xml:space="preserve">Wind Point / Pacific Cycle (2000-04)</t>
  </si>
  <si>
    <t xml:space="preserve">Sponsor platform build and exit</t>
  </si>
  <si>
    <t xml:space="preserve">Realised Feb-2004</t>
  </si>
  <si>
    <t xml:space="preserve">Pegasus Capital / Cannondale (2003-08)</t>
  </si>
  <si>
    <t xml:space="preserve">Distressed 363 purchase and exit</t>
  </si>
  <si>
    <t xml:space="preserve">Realised Q1-2008</t>
  </si>
  <si>
    <t xml:space="preserve">Cerberus + Koch / Dorel (2021) [TERMINATED]</t>
  </si>
  <si>
    <t xml:space="preserve">Take-private with family rollover (terminated 15 Feb 2021)</t>
  </si>
  <si>
    <t xml:space="preserve">Terminated; counterfactual shown</t>
  </si>
  <si>
    <t xml:space="preserve">Portfolio arithmetic (sponsor deals only, excluding the two strategic rows and the terminated deal)</t>
  </si>
  <si>
    <t xml:space="preserve">Deals with a realised, disclosed exit</t>
  </si>
  <si>
    <t xml:space="preserve">Median MoM, underwritten (all rows)</t>
  </si>
  <si>
    <t xml:space="preserve">Median MoM, actual (where disclosed)</t>
  </si>
  <si>
    <t xml:space="preserve">Aggregate entry EV, all rows</t>
  </si>
  <si>
    <t xml:space="preserve">KKR / Varsity Brands (2024) — Paper LBO</t>
  </si>
  <si>
    <t xml:space="preserve">Sources</t>
  </si>
  <si>
    <t xml:space="preserve">Uses</t>
  </si>
  <si>
    <t xml:space="preserve">INPUTS</t>
  </si>
  <si>
    <t xml:space="preserve">Value</t>
  </si>
  <si>
    <t xml:space="preserve">Tag</t>
  </si>
  <si>
    <t xml:space="preserve">Source  (F = filed / rating agency, P = press, A = assumption; blue = assumption)</t>
  </si>
  <si>
    <t xml:space="preserve">Purchase Price</t>
  </si>
  <si>
    <t xml:space="preserve">Entry enterprise value ($m)</t>
  </si>
  <si>
    <t xml:space="preserve">P</t>
  </si>
  <si>
    <t xml:space="preserve">PitchBook LCD / Sportico</t>
  </si>
  <si>
    <t xml:space="preserve">Equity (plug)</t>
  </si>
  <si>
    <t xml:space="preserve">Entry EBITDA, LTM ($m)</t>
  </si>
  <si>
    <t xml:space="preserve">Trade press '&gt;$400m'; Moody's 6.2x on ~$2.48bn debt implies ~$400m</t>
  </si>
  <si>
    <t xml:space="preserve">Total Sources</t>
  </si>
  <si>
    <t xml:space="preserve">Total Uses</t>
  </si>
  <si>
    <t xml:space="preserve">Entry multiple (x)</t>
  </si>
  <si>
    <t xml:space="preserve">calc</t>
  </si>
  <si>
    <t xml:space="preserve">Derived</t>
  </si>
  <si>
    <t xml:space="preserve">Debt raised ($m)</t>
  </si>
  <si>
    <t xml:space="preserve">F</t>
  </si>
  <si>
    <t xml:space="preserve">$2,375m TLB + $100m ABL drawn at close (LCD, Sportico)</t>
  </si>
  <si>
    <t xml:space="preserve">Build to Debt</t>
  </si>
  <si>
    <t xml:space="preserve">Build to Purchase Price</t>
  </si>
  <si>
    <t xml:space="preserve">Leverage (x EBITDA)</t>
  </si>
  <si>
    <t xml:space="preserve">2024 EBITDA (LTM)</t>
  </si>
  <si>
    <t xml:space="preserve">Blended cash interest rate</t>
  </si>
  <si>
    <t xml:space="preserve">TLB S+375 (fund holdings show TSFR3M+3.75%); 3M SOFR ~5.30% Aug-2024</t>
  </si>
  <si>
    <t xml:space="preserve">(x) Leverage</t>
  </si>
  <si>
    <t xml:space="preserve">(x) Multiple of 2023 EBITDA</t>
  </si>
  <si>
    <t xml:space="preserve">Tax rate</t>
  </si>
  <si>
    <t xml:space="preserve">A</t>
  </si>
  <si>
    <t xml:space="preserve">Blended US federal+state assumption</t>
  </si>
  <si>
    <t xml:space="preserve">Base-year revenue ($m)</t>
  </si>
  <si>
    <t xml:space="preserve">Moody's: ~$2.6bn LTM Mar-2025 (SGB Media, Jul 2025)</t>
  </si>
  <si>
    <t xml:space="preserve">Incremental revenue p.a. ($m)</t>
  </si>
  <si>
    <t xml:space="preserve">5% p.a.; Moody's projected mid-single-digit growth</t>
  </si>
  <si>
    <t xml:space="preserve">Simple P&amp;L</t>
  </si>
  <si>
    <t xml:space="preserve">EBITDA margin, base year</t>
  </si>
  <si>
    <t xml:space="preserve">Revenue</t>
  </si>
  <si>
    <t xml:space="preserve">D&amp;A p.a. ($m)</t>
  </si>
  <si>
    <t xml:space="preserve">3.0% of revenue, assumption</t>
  </si>
  <si>
    <t xml:space="preserve">$ Incremental Revenue</t>
  </si>
  <si>
    <t xml:space="preserve">Capex p.a. ($m)</t>
  </si>
  <si>
    <t xml:space="preserve">80% of D&amp;A, assumption</t>
  </si>
  <si>
    <t xml:space="preserve">Change in NWC p.a. ($m, negative = investment)</t>
  </si>
  <si>
    <t xml:space="preserve">Assumed flat</t>
  </si>
  <si>
    <t xml:space="preserve">EBITDA</t>
  </si>
  <si>
    <t xml:space="preserve">Exit multiple (x)</t>
  </si>
  <si>
    <t xml:space="preserve">Entry 11.9x; modest compression assumed</t>
  </si>
  <si>
    <t xml:space="preserve">% margin</t>
  </si>
  <si>
    <t xml:space="preserve">Entry date</t>
  </si>
  <si>
    <t xml:space="preserve">Closing date per filings</t>
  </si>
  <si>
    <t xml:space="preserve">Underwritten exit date (5-year hold)</t>
  </si>
  <si>
    <t xml:space="preserve">Template convention: five projection years</t>
  </si>
  <si>
    <t xml:space="preserve">LFCF Build</t>
  </si>
  <si>
    <t xml:space="preserve">Actual exit / valuation date</t>
  </si>
  <si>
    <t xml:space="preserve">No realised exit</t>
  </si>
  <si>
    <t xml:space="preserve">(-) D&amp;A</t>
  </si>
  <si>
    <t xml:space="preserve">EBIT</t>
  </si>
  <si>
    <t xml:space="preserve">(-) Cash Interest</t>
  </si>
  <si>
    <t xml:space="preserve">EBT</t>
  </si>
  <si>
    <t xml:space="preserve">(-) Taxes</t>
  </si>
  <si>
    <t xml:space="preserve">Net Income</t>
  </si>
  <si>
    <t xml:space="preserve">(+) D&amp;A</t>
  </si>
  <si>
    <t xml:space="preserve">(-) Capex</t>
  </si>
  <si>
    <t xml:space="preserve">(-) Change in NWC</t>
  </si>
  <si>
    <t xml:space="preserve">Levered FCF</t>
  </si>
  <si>
    <t xml:space="preserve">Cumulative LFCF</t>
  </si>
  <si>
    <t xml:space="preserve">Returns — UNDERWRITTEN CASE (template mechanics: interest on opening debt, all LFCF accumulates as cash)</t>
  </si>
  <si>
    <t xml:space="preserve">Exit EBITDA (2029)</t>
  </si>
  <si>
    <t xml:space="preserve">(x) Exit Multiple</t>
  </si>
  <si>
    <t xml:space="preserve">Enterprise Value</t>
  </si>
  <si>
    <t xml:space="preserve">(-) Debt</t>
  </si>
  <si>
    <t xml:space="preserve">(+) Cash</t>
  </si>
  <si>
    <t xml:space="preserve">Equity Value at Exit</t>
  </si>
  <si>
    <t xml:space="preserve">Initial Equity Investment </t>
  </si>
  <si>
    <t xml:space="preserve">MoM</t>
  </si>
  <si>
    <t xml:space="preserve">IRR</t>
  </si>
  <si>
    <t xml:space="preserve">ACTUAL OUTCOME</t>
  </si>
  <si>
    <t xml:space="preserve">Exit enterprise value, actual ($m)</t>
  </si>
  <si>
    <t xml:space="preserve">not applicable</t>
  </si>
  <si>
    <t xml:space="preserve">Debt at exit ($m)</t>
  </si>
  <si>
    <t xml:space="preserve">Equity value at exit ($m)</t>
  </si>
  <si>
    <t xml:space="preserve">Equity invested (from Sources) ($m)</t>
  </si>
  <si>
    <t xml:space="preserve">MoM, actual</t>
  </si>
  <si>
    <t xml:space="preserve">IRR, actual</t>
  </si>
  <si>
    <t xml:space="preserve">MoM variance vs underwritten</t>
  </si>
  <si>
    <t xml:space="preserve">IRR variance vs underwritten (pts)</t>
  </si>
  <si>
    <t xml:space="preserve">Actual outcome note:</t>
  </si>
  <si>
    <t xml:space="preserve">No realised exit; the deal is a current holding.</t>
  </si>
  <si>
    <t xml:space="preserve">Deal note:</t>
  </si>
  <si>
    <t xml:space="preserve">Prospective. KKR contributed ~$2.5bn of equity against ~$2.48bn of debt, an unusually thick cheque for a B3/B- credit. S&amp;P and Moody's both upgraded in mid-2025 on deleveraging.</t>
  </si>
  <si>
    <t xml:space="preserve">Classification: Sponsor buyout  |  Status: Pending (hold)</t>
  </si>
  <si>
    <t xml:space="preserve">Bain Capital / Varsity Brands (2018-24) — Paper LBO</t>
  </si>
  <si>
    <t xml:space="preserve">Moody's: 'total implied enterprise value of approximately $2.9 billion' (press said ~$2.5bn)</t>
  </si>
  <si>
    <t xml:space="preserve">Assumption: $2.9bn EV at 10.0x; Moody's showed 7.7x on ~$2.0bn debt at Dec-2019 (~$260m)</t>
  </si>
  <si>
    <t xml:space="preserve">$1,370m 1L TL + $620m 2L TL (Moody's); $180m revolver undrawn</t>
  </si>
  <si>
    <t xml:space="preserve">2018 EBITDA (LTM)</t>
  </si>
  <si>
    <t xml:space="preserve">1L L+350 (~5.75%) and 2L assumed L+800 (~10.25%), blended</t>
  </si>
  <si>
    <t xml:space="preserve">Assumption</t>
  </si>
  <si>
    <t xml:space="preserve">Moody's: ~$2.0bn LTM Dec-2019</t>
  </si>
  <si>
    <t xml:space="preserve">Path to ~$400m EBITDA by 2023 at constant margin (6% p.a.)</t>
  </si>
  <si>
    <t xml:space="preserve">$4,750m KKR price on ~$400m EBITDA</t>
  </si>
  <si>
    <t xml:space="preserve">Realised exit date per filings</t>
  </si>
  <si>
    <t xml:space="preserve">Exit EBITDA (2023)</t>
  </si>
  <si>
    <t xml:space="preserve">cash flows for XIRR (actual)</t>
  </si>
  <si>
    <t xml:space="preserve">Exit debt = $1,132m 1L TL + $450m 1L notes + $620m 2L + ~$245m ABL drawn (LCD; Moody's Nov-2023). Equity in = EV $2,900m + fees less $1,990m debt. Charlesbank rolled a minority; Herff Jones graduation sold Oct-2023 for an undisclosed sum, not credited here.</t>
  </si>
  <si>
    <t xml:space="preserve">Leverage never came down: Moody's had it at 7.7x (2019), 8.6x (2022), 6.9x (mid-2023). The return came almost entirely from EBITDA growth and the exit multiple, not deleveraging.</t>
  </si>
  <si>
    <t xml:space="preserve">Classification: Secondary buyout  |  Status: Realised Aug-2024</t>
  </si>
  <si>
    <t xml:space="preserve">Charlesbank + Partners Group / Varsity Brands (2014-18) — Paper LBO</t>
  </si>
  <si>
    <t xml:space="preserve">Charlesbank site / CNBC '~$1.5bn'</t>
  </si>
  <si>
    <t xml:space="preserve">Assumption: ~9.7x entry on $1.5bn; B2 CFR at 6.5x leverage</t>
  </si>
  <si>
    <t xml:space="preserve">Assumption: 1L (L+500, 1% floor) ~$700m + 2L (L+875) ~$300m; Ares held $175m of 2L par</t>
  </si>
  <si>
    <t xml:space="preserve">2014 EBITDA (LTM)</t>
  </si>
  <si>
    <t xml:space="preserve">1L 6.00% and 2L 9.75% (BDC filings), blended 70/30</t>
  </si>
  <si>
    <t xml:space="preserve">Company release: 'combined sales in excess of $1.2 billion'</t>
  </si>
  <si>
    <t xml:space="preserve">~6.5% p.a., assumption</t>
  </si>
  <si>
    <t xml:space="preserve">$2.9bn Bain EV on ~$290m EBITDA (assumption)</t>
  </si>
  <si>
    <t xml:space="preserve">Exit EBITDA (2019)</t>
  </si>
  <si>
    <t xml:space="preserve">Exit EV per Moody's; press said $2.5bn. Exit debt assumed equal to entry (no paydown, consistent with later leverage history). Charlesbank retained a minority stake in the Bain deal, not credited here.</t>
  </si>
  <si>
    <t xml:space="preserve">Best-returning link in the chain on any assumption set: ~3.5 years, EV roughly doubled, equity roughly tripled.</t>
  </si>
  <si>
    <t xml:space="preserve">Classification: ESOP buyout  |  Status: Realised Jul-2018</t>
  </si>
  <si>
    <t xml:space="preserve">Leonard Green / Varsity Brands (2003-11) — Paper LBO</t>
  </si>
  <si>
    <t xml:space="preserve">Rothschild adjusted EV incl. $10.4m deal costs; $164.2m 'aggregate transaction value' incl. fees</t>
  </si>
  <si>
    <t xml:space="preserve">2002A adjusted EBITDA $19.0m + $1.7m add-backs (SC 13E-3 Ex-99(c)(3))</t>
  </si>
  <si>
    <t xml:space="preserve">Assumption: Wells Fargo/Merrill senior ~$55m + NML/BancAmerica sub-debt ~$30m (sizes not in the DEFM14A extract)</t>
  </si>
  <si>
    <t xml:space="preserve">2002 EBITDA (LTM)</t>
  </si>
  <si>
    <t xml:space="preserve">Senior ~6% / sub-debt ~12%, blended</t>
  </si>
  <si>
    <t xml:space="preserve">Rothschild fairness materials: 2002A revenue (SC 13E-3 Ex-99(c)(2))</t>
  </si>
  <si>
    <t xml:space="preserve">2003E revenue $170.5m per Rothschild; ~9% p.a.</t>
  </si>
  <si>
    <t xml:space="preserve">Assumption ~2.9% of revenue</t>
  </si>
  <si>
    <t xml:space="preserve">Growth working capital, assumption</t>
  </si>
  <si>
    <t xml:space="preserve">Assumed equal to entry (exit price to Herff Jones undisclosed)</t>
  </si>
  <si>
    <t xml:space="preserve">Exit EBITDA (2007)</t>
  </si>
  <si>
    <t xml:space="preserve">undisclosed</t>
  </si>
  <si>
    <t xml:space="preserve">Exit price not disclosed by the parties.</t>
  </si>
  <si>
    <t xml:space="preserve">Rothschild's own multiples: 7.6x 2002A / 6.7x 2003E adjusted EBITDA. Exit to Herff Jones in 2011 was undisclosed, so the realised return cannot be stated.</t>
  </si>
  <si>
    <t xml:space="preserve">Classification: Take-private (13E-3)  |  Status: Realised Aug-2011 (price undisclosed)</t>
  </si>
  <si>
    <t xml:space="preserve">ONCAP / Sport Supply Group (2010-13) — Paper LBO</t>
  </si>
  <si>
    <t xml:space="preserve">$179.4m equity consideration (SC 13E-3) + $0.8m net debt</t>
  </si>
  <si>
    <t xml:space="preserve">LTM adjusted EBITDA to 31 Mar 2010 (8-K Ex-99.1)</t>
  </si>
  <si>
    <t xml:space="preserve">DEFM14A: term loan $74.6m + Manulife mezz $26.5m; $25m revolver undrawn</t>
  </si>
  <si>
    <t xml:space="preserve">2010 EBITDA (LTM)</t>
  </si>
  <si>
    <t xml:space="preserve">Term loan ~6% / mezz ~12%, blended (rates not disclosed)</t>
  </si>
  <si>
    <t xml:space="preserve">LTM to Mar-2010: FY09 $250.2m, 9-mo FY10 $198.5m (8-K Ex-99.1)</t>
  </si>
  <si>
    <t xml:space="preserve">~6% p.a. plus nine bolt-ons under ONCAP, assumption</t>
  </si>
  <si>
    <t xml:space="preserve">Assumed equal to entry (Herff Jones price undisclosed)</t>
  </si>
  <si>
    <t xml:space="preserve">Exit EBITDA (2015)</t>
  </si>
  <si>
    <t xml:space="preserve">Filed sources and uses: ONCAP $89.6m + management $3.5m equity, $74.6m term loan, $26.5m mezz. Entry 7.0x LTM / 7.2x FY2009 adjusted EBITDA.</t>
  </si>
  <si>
    <t xml:space="preserve">Classification: Take-private with rollover  |  Status: Realised Jun-2013 (price undisclosed)</t>
  </si>
  <si>
    <t xml:space="preserve">Cerberus / Chrysler (2007-09) — Paper LBO</t>
  </si>
  <si>
    <t xml:space="preserve">Cerberus equity into Chrysler Corp LLC $5.4bn (Daimler AR 2007 / TTAC) + $12bn acquisition debt</t>
  </si>
  <si>
    <t xml:space="preserve">Assumption: 2006 operating loss EUR(1,118)m plus segment D&amp;A (not disclosed at segment level; group D&amp;A implies ~$2.5-3bn incl. leasing)</t>
  </si>
  <si>
    <t xml:space="preserve">$10bn first-lien TL + $2bn second-lien (Moody's / S&amp;P, Jul-Aug 2007); $2.5bn of the 1L sat in a collateral account</t>
  </si>
  <si>
    <t xml:space="preserve">2006 EBITDA (LTM)</t>
  </si>
  <si>
    <t xml:space="preserve">1L assumed ~8.5% and 2L ~12% (spreads/OIDs after the failed July-2007 syndication not found)</t>
  </si>
  <si>
    <t xml:space="preserve">Chrysler Group 2006 revenue EUR47,116m (DaimlerChrysler 20-F) at ~1.25 $/EUR</t>
  </si>
  <si>
    <t xml:space="preserve">Sponsor case: flat revenue, margin recovery via Nardelli cost plan</t>
  </si>
  <si>
    <t xml:space="preserve">Assumption ~4.7% of revenue</t>
  </si>
  <si>
    <t xml:space="preserve">2006 capex EUR1,251m; assumed ~$2.0bn</t>
  </si>
  <si>
    <t xml:space="preserve">Auto OEM exit multiple, assumption</t>
  </si>
  <si>
    <t xml:space="preserve">Exit EBITDA (2011)</t>
  </si>
  <si>
    <t xml:space="preserve">Chapter 11 filed 30 Apr 2009. First-lien lenders (~$6.9bn) took $2.0bn cash (~29c) in the 363 sale to New Chrysler; second lien and equity recovered nothing. 2008 EBITDA was $0.3bn on $55.9bn revenue (Chrysler restructuring plan to Treasury, Feb-2009). Sponsor equity: total loss.</t>
  </si>
  <si>
    <t xml:space="preserve">The sponsor case required EBITDA to go from ~$1.5bn to ~$3.5bn. Actual 2008 EBITDA was $0.3bn. No capital structure survives that.</t>
  </si>
  <si>
    <t xml:space="preserve">Classification: Private equity carve-out  |  Status: Realised 2009: equity written to zero</t>
  </si>
  <si>
    <t xml:space="preserve">Caterpillar / Bucyrus (2011) [STRATEGIC] — Paper LBO</t>
  </si>
  <si>
    <t xml:space="preserve">STRATEGIC TRANSACTION, NOT AN LBO. The acquirer was a corporate; the "debt" is corporate notes and the "equity" is balance-sheet cash. The LBO template is applied only to show what the entry price required.</t>
  </si>
  <si>
    <t xml:space="preserve">Total purchase price as booked incl. $1.6bn assumed debt (CAT 2011 10-K)</t>
  </si>
  <si>
    <t xml:space="preserve">Bucyrus FY2010 EBITDA $637.3m; adjusted $720.6m (8-K Ex-99)</t>
  </si>
  <si>
    <t xml:space="preserve">$4.5bn five-tranche notes, May-2011 (FWP)</t>
  </si>
  <si>
    <t xml:space="preserve">Weighted coupon: fixed tranches 3.82%; all five ~2.87% at 3M LIBOR ~0.26%</t>
  </si>
  <si>
    <t xml:space="preserve">Bucyrus FY2010 sales (8-K Ex-99)</t>
  </si>
  <si>
    <t xml:space="preserve">Underwritten case: ~10% p.a. plus &gt;$400m synergies by 2015 (announcement)</t>
  </si>
  <si>
    <t xml:space="preserve">FY2010 depreciation $54.1m + amortisation $46.6m (10-K Ex-13); excludes the $3.9bn acquired-intangible amortisation</t>
  </si>
  <si>
    <t xml:space="preserve">2011 guidance ~$100m (FY2010 actual $69.4m)</t>
  </si>
  <si>
    <t xml:space="preserve">Assumption for a growing backlog business</t>
  </si>
  <si>
    <t xml:space="preserve">Mining equipment mid-cycle multiple, assumption</t>
  </si>
  <si>
    <t xml:space="preserve">Never exited. Bucyrus contributed $2,524m of sales and a $(96)m operating loss in the 2011 stub, $4,758m and $257m in 2012. Caterpillar Resource Industries segment then fell from $21.2bn sales / $4.3bn profit (2012) to $5.7bn / $(1,047)m (2016), the year of the $595m Surface Mining &amp; Technology goodwill impairment and $132m intangible write-down.</t>
  </si>
  <si>
    <t xml:space="preserve">Not a sponsor deal. The notes were Caterpillar corporate debt at ~2.9%, and the 'equity' was balance-sheet cash. The template is used to show what the price required: EBITDA roughly doubling on a 13.8x entry. The cycle turned the other way within eighteen months.</t>
  </si>
  <si>
    <t xml:space="preserve">Classification: STRATEGIC public M&amp;A, debt-financed (not an LBO)  |  Status: Held; $595m goodwill impairment Q4-2016</t>
  </si>
  <si>
    <t xml:space="preserve">NRG / Direct Energy (2021) [STRATEGIC] — Paper LBO</t>
  </si>
  <si>
    <t xml:space="preserve">Purchase price, debt-free cash-free (Centrica / NRG releases)</t>
  </si>
  <si>
    <t xml:space="preserve">2019 underlying adjusted EBITDA $457m / GBP358m (Centrica Class 1 circular); 7.9x</t>
  </si>
  <si>
    <t xml:space="preserve">$1.40bn secured notes (2.000%/2.450%) + $1.53bn unsecured (3.375%/3.625%); $900m P-Caps excluded</t>
  </si>
  <si>
    <t xml:space="preserve">2019 EBITDA (LTM)</t>
  </si>
  <si>
    <t xml:space="preserve">Weighted coupon on the $2.93bn: 2.944% (computed from the pricing release)</t>
  </si>
  <si>
    <t xml:space="preserve">US federal rate</t>
  </si>
  <si>
    <t xml:space="preserve">Direct Energy 2019 US GAAP revenue (NRG pro forma 8-K, Nov-2020)</t>
  </si>
  <si>
    <t xml:space="preserve">Flat revenue; value case is the $300m synergy ramp</t>
  </si>
  <si>
    <t xml:space="preserve">Direct Energy 2019 US GAAP D&amp;A (NRG pro forma)</t>
  </si>
  <si>
    <t xml:space="preserve">Assumption (standalone capex not disclosed)</t>
  </si>
  <si>
    <t xml:space="preserve">Retail energy multiple, assumption (entry 7.9x)</t>
  </si>
  <si>
    <t xml:space="preserve">Exit EBITDA (2024)</t>
  </si>
  <si>
    <t xml:space="preserve">Never exited. Synergies: $175m run-rate in 2021 vs $135m plan, $259m cumulative 2022, $300m completed 2023. Winter Storm Uri cost NRG $967m in Q1-2021, six weeks after closing. NRG East segment adjusted EBITDA (closest proxy for the ex-Texas Direct Energy book): $437m 2020, $988m 2021, $773m 2022, $780m 2023, $1,006m 2024.</t>
  </si>
  <si>
    <t xml:space="preserve">Not a sponsor deal. Financed with investment-grade-style notes at 2.9%, so the equity is simply the ~$700m not covered by the notes. Shown to isolate what a 7.9x entry with a $300m synergy plan implies.</t>
  </si>
  <si>
    <t xml:space="preserve">Classification: STRATEGIC corporate carve-out, note-financed (not an LBO)  |  Status: Held; $300m synergy programme completed 2023</t>
  </si>
  <si>
    <t xml:space="preserve">Wind Point / Pacific Cycle (2000-04) — Paper LBO</t>
  </si>
  <si>
    <t xml:space="preserve">$60m Brunswick bicycle business + $86m Schwinn/GT auction (Forbes, Lincoln International, Crain's)</t>
  </si>
  <si>
    <t xml:space="preserve">Assumption: ~8% margin on 2001 revenue (no EBITDA ever disclosed)</t>
  </si>
  <si>
    <t xml:space="preserve">Assumption: Wind Point put $3m of equity into the $60m Brunswick deal (Forbes); structure otherwise undisclosed</t>
  </si>
  <si>
    <t xml:space="preserve">2001 EBITDA (LTM)</t>
  </si>
  <si>
    <t xml:space="preserve">Forbes (Oct-2002): 2001 revenue ~$280m after Brunswick and Schwinn/GT</t>
  </si>
  <si>
    <t xml:space="preserve">2003 sales 'in excess of US$325m' (Dorel 6-K)</t>
  </si>
  <si>
    <t xml:space="preserve">Dorel recorded only $0.5m of segment D&amp;A in 2004; asset-light importer</t>
  </si>
  <si>
    <t xml:space="preserve">$310m / annualised 2004 segment EBIT $53.9m (Dorel FY2004 MD&amp;A); D&amp;A negligible</t>
  </si>
  <si>
    <t xml:space="preserve">Exit EBITDA (2006)</t>
  </si>
  <si>
    <t xml:space="preserve">Exit EV $310m (Dorel 6-K; $320.5m 'total value' incl. balance of sale). Exit debt assumed $90m after three years of paydown. Wind Point held 43% (CIBC advisory notice); its total cost basis ($12.5m original + $3m Brunswick + Schwinn equity undisclosed) cannot be fully stated.</t>
  </si>
  <si>
    <t xml:space="preserve">EV went from $146m to $310m in about 30 months. Everything about the equity return depends on undisclosed leverage.</t>
  </si>
  <si>
    <t xml:space="preserve">Classification: Sponsor platform build and exit  |  Status: Realised Feb-2004</t>
  </si>
  <si>
    <t xml:space="preserve">Pegasus Capital / Cannondale (2003-08) — Paper LBO</t>
  </si>
  <si>
    <t xml:space="preserve">Bicycle assets bought for ~$55m at the 20 Mar 2003 auction; '~$58m' per Bicycle Retailer</t>
  </si>
  <si>
    <t xml:space="preserve">Assumption: post-emergence ~5.7% margin (FY2002 operating loss $(12.2)m)</t>
  </si>
  <si>
    <t xml:space="preserve">Assumption: CIT provided DIP and exit financing; quantum undisclosed</t>
  </si>
  <si>
    <t xml:space="preserve">2003 EBITDA (LTM)</t>
  </si>
  <si>
    <t xml:space="preserve">Assumption: FY2002 sales $156.7m (last 10-K) less the retained motorsports line and the bankruptcy year</t>
  </si>
  <si>
    <t xml:space="preserve">Cannondale + Sugoi ~$200m sales in 2007 (Dorel 6-K)</t>
  </si>
  <si>
    <t xml:space="preserve">$195m midpoint / ~$20m 2007 EBITDA (assumption; Dorel disclosed sales only)</t>
  </si>
  <si>
    <t xml:space="preserve">Exit EBITDA (2008)</t>
  </si>
  <si>
    <t xml:space="preserve">Exit EV $190-200m, earnings-contingent to 30 Jun 2008 (Dorel 6-K); final price after the earnout is in Dorel's FY2008 SEDAR statements, not retrieved. Exit debt assumed equal to entry.</t>
  </si>
  <si>
    <t xml:space="preserve">Roughly 3.4x on enterprise value in five years, on a business bought out of Chapter 11 at 0.37x sales.</t>
  </si>
  <si>
    <t xml:space="preserve">Classification: Distressed 363 purchase and exit  |  Status: Realised Q1-2008</t>
  </si>
  <si>
    <t xml:space="preserve">Cerberus + Koch / Dorel (2021) [TERMINATED] — Paper LBO</t>
  </si>
  <si>
    <t xml:space="preserve">Aggregate purchase price incl. assumed debt and ~$65m fees (Dorel release, 1 Feb 2021); ~8.5x</t>
  </si>
  <si>
    <t xml:space="preserve">Buyer's adjusted LTM EBITDA to 30 Sep 2020 (Dorel release, 1 Feb 2021); Letko says it embeds $44.5m of downward adjustments</t>
  </si>
  <si>
    <t xml:space="preserve">Funded debt from third-party lenders (Dorel release, 1 Feb 2021)</t>
  </si>
  <si>
    <t xml:space="preserve">2020 EBITDA (LTM)</t>
  </si>
  <si>
    <t xml:space="preserve">Canadian blended, assumption</t>
  </si>
  <si>
    <t xml:space="preserve">Dorel FY2020 revenue (Q4-2020 results)</t>
  </si>
  <si>
    <t xml:space="preserve">~3% p.a., assumption</t>
  </si>
  <si>
    <t xml:space="preserve">FY2020 consolidated D&amp;A (cash-flow statement)</t>
  </si>
  <si>
    <t xml:space="preserve">Assumed equal to entry</t>
  </si>
  <si>
    <t xml:space="preserve">Exit EBITDA (2025)</t>
  </si>
  <si>
    <t xml:space="preserve">COUNTERFACTUAL, not a realised exit: within eleven months of termination Dorel sold Sports alone to Pon for $810m (~11x per the circular's Sports EBITDA), leaving Home + Juvenile with ~$90m of EBITDA that at 7x is ~$630m. $810m + $630m = ~$1,440m of value against a $947m ex-fee take-private EV. Sponsor equity would have been $314m + $83m family rollover.</t>
  </si>
  <si>
    <t xml:space="preserve">TD Securities' formal valuation range was C$14.00-C$17.00; the deal died at C$16.00 with ~19% of the minority publicly opposed. The board's post-mortem argument, that the sum of the parts exceeded the offer, is what the Pon sale proved.</t>
  </si>
  <si>
    <t xml:space="preserve">Classification: Take-private with family rollover (terminated 15 Feb 2021)  |  Status: Terminated; counterfactual shown</t>
  </si>
  <si>
    <t xml:space="preserve">KKR / Varsity Brands (2024) — Full LBO model (template: LBO Model Solution)</t>
  </si>
  <si>
    <t xml:space="preserve">Assumptions</t>
  </si>
  <si>
    <t xml:space="preserve">INPUT NOTES</t>
  </si>
  <si>
    <t xml:space="preserve">Entry Multiple</t>
  </si>
  <si>
    <t xml:space="preserve">TL</t>
  </si>
  <si>
    <t xml:space="preserve">EBITDA at entry $400m and entry multiple 11.875x reproduce the filed/reported purchase price of $4,750m.</t>
  </si>
  <si>
    <t xml:space="preserve">Exit Multiple</t>
  </si>
  <si>
    <t xml:space="preserve">Mezz</t>
  </si>
  <si>
    <t xml:space="preserve">Term loan 6.1875x EBITDA at 9.05%; mezz/second-lien 0.0x at 0.00%.</t>
  </si>
  <si>
    <t xml:space="preserve">EBITDA at Entry</t>
  </si>
  <si>
    <t xml:space="preserve">Days</t>
  </si>
  <si>
    <t xml:space="preserve">Purchase-accounting inputs (NPV of assets, PP&amp;E allocation, DTL rate), working-capital days and D&amp;A/capex ratios are assumptions unless the paper tab's source column says otherwise.</t>
  </si>
  <si>
    <t xml:space="preserve">Financing Fees Years</t>
  </si>
  <si>
    <t xml:space="preserve">Tax Rate</t>
  </si>
  <si>
    <t xml:space="preserve">Sensitivity tables (rows 173-186) are Excel data tables and recompute when opened in Excel; other spreadsheet apps may show the last cached values.</t>
  </si>
  <si>
    <t xml:space="preserve">D&amp;A Life</t>
  </si>
  <si>
    <t xml:space="preserve">Three template formulas are corrected on this tab so the model survives negative cash flow: CFF now includes the revolver draw (row 89); a negative cash balance no longer triggers a second revolver draw (row 110); the term-loan sweep only uses cash that exists (row 120). With positive cash flow the results are identical to the original.</t>
  </si>
  <si>
    <t xml:space="preserve">Rollover</t>
  </si>
  <si>
    <t xml:space="preserve">circ</t>
  </si>
  <si>
    <t xml:space="preserve">&lt;&lt; interest is charged on opening balances on this tab, so no iteration is needed; 1 keeps interest on</t>
  </si>
  <si>
    <t xml:space="preserve">Interest is charged on opening balances, which removes the template's circular reference; switch I8 is left at 1 so the interest lines stay live.</t>
  </si>
  <si>
    <t xml:space="preserve">Term Loan</t>
  </si>
  <si>
    <t xml:space="preserve">Equity purchase price</t>
  </si>
  <si>
    <t xml:space="preserve">Mezz Loan</t>
  </si>
  <si>
    <t xml:space="preserve">M&amp;A fee</t>
  </si>
  <si>
    <t xml:space="preserve">Management Rollover</t>
  </si>
  <si>
    <t xml:space="preserve">Fin. Fee</t>
  </si>
  <si>
    <t xml:space="preserve">Sponsor Equity</t>
  </si>
  <si>
    <t xml:space="preserve">Purchase Acct</t>
  </si>
  <si>
    <t xml:space="preserve">(-) NPV</t>
  </si>
  <si>
    <t xml:space="preserve">Excess</t>
  </si>
  <si>
    <t xml:space="preserve">(-) Alloc to PPE</t>
  </si>
  <si>
    <t xml:space="preserve">DTL</t>
  </si>
  <si>
    <t xml:space="preserve">Goodwill</t>
  </si>
  <si>
    <t xml:space="preserve">x</t>
  </si>
  <si>
    <t xml:space="preserve">Income Statement</t>
  </si>
  <si>
    <t xml:space="preserve">% Growth</t>
  </si>
  <si>
    <t xml:space="preserve">(-) Cogs</t>
  </si>
  <si>
    <t xml:space="preserve">Gross Profit</t>
  </si>
  <si>
    <t xml:space="preserve">% Gross Margin</t>
  </si>
  <si>
    <t xml:space="preserve">% Margin</t>
  </si>
  <si>
    <t xml:space="preserve">(-) Interest Expense</t>
  </si>
  <si>
    <t xml:space="preserve">(+) Interest Income</t>
  </si>
  <si>
    <t xml:space="preserve">(-) Amort. Of Fin Fee</t>
  </si>
  <si>
    <t xml:space="preserve">Incremental D&amp;A</t>
  </si>
  <si>
    <t xml:space="preserve">Capex</t>
  </si>
  <si>
    <t xml:space="preserve">D&amp;A as % of Sales</t>
  </si>
  <si>
    <t xml:space="preserve">Capex as % of D&amp;A</t>
  </si>
  <si>
    <t xml:space="preserve">WC Schedule</t>
  </si>
  <si>
    <t xml:space="preserve">AR</t>
  </si>
  <si>
    <t xml:space="preserve">Inventory</t>
  </si>
  <si>
    <t xml:space="preserve">AP</t>
  </si>
  <si>
    <t xml:space="preserve">WC</t>
  </si>
  <si>
    <t xml:space="preserve">Change in WC</t>
  </si>
  <si>
    <t xml:space="preserve">Metrics</t>
  </si>
  <si>
    <t xml:space="preserve">Cap Table</t>
  </si>
  <si>
    <t xml:space="preserve">Cash</t>
  </si>
  <si>
    <t xml:space="preserve">Revolver</t>
  </si>
  <si>
    <t xml:space="preserve">Total Debt</t>
  </si>
  <si>
    <t xml:space="preserve">Total Cap</t>
  </si>
  <si>
    <t xml:space="preserve">Term Loan / EBITDA</t>
  </si>
  <si>
    <t xml:space="preserve">Mezz Loan / EBITDA</t>
  </si>
  <si>
    <t xml:space="preserve">Total Debt / EBITDA</t>
  </si>
  <si>
    <t xml:space="preserve">Total Debt / Cap</t>
  </si>
  <si>
    <t xml:space="preserve">Cash Flow Statement</t>
  </si>
  <si>
    <t xml:space="preserve">(-) DTL</t>
  </si>
  <si>
    <t xml:space="preserve">(+) PIK</t>
  </si>
  <si>
    <t xml:space="preserve">(+) Amort Fee</t>
  </si>
  <si>
    <t xml:space="preserve">(-) Change WC</t>
  </si>
  <si>
    <t xml:space="preserve">CFO</t>
  </si>
  <si>
    <t xml:space="preserve">CFI</t>
  </si>
  <si>
    <t xml:space="preserve">Mand. Paymnet</t>
  </si>
  <si>
    <t xml:space="preserve">Optional Payment</t>
  </si>
  <si>
    <t xml:space="preserve">CFF</t>
  </si>
  <si>
    <t xml:space="preserve">Change in Cash</t>
  </si>
  <si>
    <t xml:space="preserve">Debt Paydown</t>
  </si>
  <si>
    <t xml:space="preserve">Beg Cash</t>
  </si>
  <si>
    <t xml:space="preserve">(-) Min Cash</t>
  </si>
  <si>
    <t xml:space="preserve">(+) CFO + CFI</t>
  </si>
  <si>
    <t xml:space="preserve">(-) Mand. Payment</t>
  </si>
  <si>
    <t xml:space="preserve">Cash Avail for Revolver</t>
  </si>
  <si>
    <t xml:space="preserve">(-) Drawdown / Paydown</t>
  </si>
  <si>
    <t xml:space="preserve">Cash Avail for Term Loan</t>
  </si>
  <si>
    <t xml:space="preserve">(-) Paydown</t>
  </si>
  <si>
    <t xml:space="preserve">Cash Avail for Mezz Loan</t>
  </si>
  <si>
    <t xml:space="preserve">Excess Cash</t>
  </si>
  <si>
    <t xml:space="preserve">Beg</t>
  </si>
  <si>
    <t xml:space="preserve">Drawdown</t>
  </si>
  <si>
    <t xml:space="preserve">Paydown</t>
  </si>
  <si>
    <t xml:space="preserve">End</t>
  </si>
  <si>
    <t xml:space="preserve">Avg</t>
  </si>
  <si>
    <t xml:space="preserve">Interest Rate</t>
  </si>
  <si>
    <t xml:space="preserve">Int Expense</t>
  </si>
  <si>
    <t xml:space="preserve">Mand. Amort</t>
  </si>
  <si>
    <t xml:space="preserve">Accretion</t>
  </si>
  <si>
    <t xml:space="preserve">PIK Rate</t>
  </si>
  <si>
    <t xml:space="preserve">PIK Expense</t>
  </si>
  <si>
    <t xml:space="preserve">Change</t>
  </si>
  <si>
    <t xml:space="preserve">Int Income</t>
  </si>
  <si>
    <t xml:space="preserve">Total Interest Expense</t>
  </si>
  <si>
    <t xml:space="preserve">Returns</t>
  </si>
  <si>
    <t xml:space="preserve">TEV</t>
  </si>
  <si>
    <t xml:space="preserve">(-) Net Debt</t>
  </si>
  <si>
    <t xml:space="preserve">Total Equity Value</t>
  </si>
  <si>
    <t xml:space="preserve">(-) Roll</t>
  </si>
  <si>
    <t xml:space="preserve">Sponsor Equity Value</t>
  </si>
  <si>
    <t xml:space="preserve">Money Multiple</t>
  </si>
  <si>
    <t xml:space="preserve">q</t>
  </si>
  <si>
    <t xml:space="preserve">Sensitivity</t>
  </si>
  <si>
    <t xml:space="preserve">IRR: entry multiple (down) vs exit multiple (across). Closed form on year-5 EBITDA, holding year-5 net debt and rollover constant.</t>
  </si>
  <si>
    <t xml:space="preserve">Entry</t>
  </si>
  <si>
    <t xml:space="preserve">Multiple</t>
  </si>
  <si>
    <t xml:space="preserve">MoM: same axes and method.</t>
  </si>
  <si>
    <t xml:space="preserve">Returns Creation</t>
  </si>
  <si>
    <t xml:space="preserve">$</t>
  </si>
  <si>
    <t xml:space="preserve">%</t>
  </si>
  <si>
    <t xml:space="preserve">Beg Equity Value</t>
  </si>
  <si>
    <t xml:space="preserve">Creation</t>
  </si>
  <si>
    <t xml:space="preserve">Cash Build</t>
  </si>
  <si>
    <t xml:space="preserve">EBITDA Growth</t>
  </si>
  <si>
    <t xml:space="preserve">Multiple Expansion</t>
  </si>
  <si>
    <t xml:space="preserve">Created Value</t>
  </si>
  <si>
    <t xml:space="preserve">(-) M&amp;A Fee</t>
  </si>
  <si>
    <t xml:space="preserve">(-) Fin. Fee</t>
  </si>
  <si>
    <t xml:space="preserve">Net Created Value (All)</t>
  </si>
  <si>
    <t xml:space="preserve">Management Roll</t>
  </si>
  <si>
    <t xml:space="preserve">Sponsor Creation</t>
  </si>
  <si>
    <t xml:space="preserve">Ending Equity (Calc)</t>
  </si>
  <si>
    <t xml:space="preserve">Ending Equity (Link)</t>
  </si>
  <si>
    <t xml:space="preserve">Check</t>
  </si>
  <si>
    <t xml:space="preserve">Bain Capital / Varsity Brands (2018-24) — Full LBO model (template: LBO Model Solution)</t>
  </si>
  <si>
    <t xml:space="preserve">EBITDA at entry $290m and entry multiple 10.0x reproduce the filed/reported purchase price of $2,900m.</t>
  </si>
  <si>
    <t xml:space="preserve">Term loan 4.724x EBITDA at 5.75%; mezz/second-lien 2.138x at 10.25%.</t>
  </si>
  <si>
    <t xml:space="preserve">Cerberus / Chrysler (2007-09) — Full LBO model (template: LBO Model Solution)</t>
  </si>
  <si>
    <t xml:space="preserve">EBITDA at entry $1,500m and entry multiple 12.5x reproduce the filed/reported purchase price of $18,750m.</t>
  </si>
  <si>
    <t xml:space="preserve">Term loan 6.667x EBITDA at 8.50%; mezz/second-lien 1.333x at 12.00%.</t>
  </si>
  <si>
    <t xml:space="preserve">Caterpillar / Bucyrus (2011) [STRATEGIC] — Full LBO model (template: LBO Model Solution)</t>
  </si>
  <si>
    <t xml:space="preserve">STRATEGIC, NOT AN LBO — see the paper tab banner</t>
  </si>
  <si>
    <t xml:space="preserve">EBITDA at entry $637.3m and entry multiple 13.81x reproduce the filed/reported purchase price of $8,801m.</t>
  </si>
  <si>
    <t xml:space="preserve">Term loan 7.061x EBITDA at 2.87%; mezz/second-lien 0.0x at 0.00%.</t>
  </si>
  <si>
    <t xml:space="preserve">Paper LBO</t>
  </si>
  <si>
    <t xml:space="preserve">2023 EBITDA</t>
  </si>
  <si>
    <t xml:space="preserve">Exit EBITDA (2027)</t>
  </si>
  <si>
    <t xml:space="preserve">&lt;&lt; remember to turn this on by making it 1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</si>
</sst>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;\(#,##0.0\);\-"/>
    <numFmt numFmtId="166" formatCode="0.0\x"/>
    <numFmt numFmtId="167" formatCode="0.0%"/>
    <numFmt numFmtId="168" formatCode="\$#,##0_);[RED]&quot;($&quot;#,##0\)"/>
    <numFmt numFmtId="169" formatCode="0%"/>
    <numFmt numFmtId="170" formatCode="0.0\x"/>
    <numFmt numFmtId="171" formatCode="yyyy\-mm\-dd"/>
    <numFmt numFmtId="172" formatCode="\$#,##0_);&quot;($&quot;#,##0\)"/>
    <numFmt numFmtId="173" formatCode="0.00%"/>
    <numFmt numFmtId="174" formatCode="_(\$##,##0.0_);&quot;($&quot;#,##0.0\);_(\-_);_(@_)"/>
    <numFmt numFmtId="175" formatCode="0.0"/>
    <numFmt numFmtId="176" formatCode="0.0_);\(0.0\)"/>
    <numFmt numFmtId="177" formatCode="m/d/yyyy"/>
    <numFmt numFmtId="178" formatCode=";;;"/>
    <numFmt numFmtId="179" formatCode="0.00\x"/>
    <numFmt numFmtId="180" formatCode="0.000_);\(0.000\)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redit suisse type roman"/>
      <family val="0"/>
      <charset val="1"/>
    </font>
    <font>
      <b val="true"/>
      <sz val="16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rgb="FF0000FF"/>
      <name val="Arial"/>
      <family val="0"/>
      <charset val="1"/>
    </font>
    <font>
      <sz val="11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0"/>
      <color rgb="FFC00000"/>
      <name val="Arial"/>
      <family val="0"/>
      <charset val="1"/>
    </font>
    <font>
      <sz val="10"/>
      <color theme="1"/>
      <name val="Calibri"/>
      <family val="2"/>
      <charset val="1"/>
    </font>
    <font>
      <b val="true"/>
      <sz val="13"/>
      <name val="Arial"/>
      <family val="0"/>
      <charset val="1"/>
    </font>
    <font>
      <b val="true"/>
      <sz val="10"/>
      <color theme="0"/>
      <name val="Calibri"/>
      <family val="2"/>
      <charset val="1"/>
    </font>
    <font>
      <sz val="10"/>
      <color rgb="FF0000FF"/>
      <name val="Calibri"/>
      <family val="2"/>
      <charset val="1"/>
    </font>
    <font>
      <sz val="9"/>
      <color theme="1"/>
      <name val="Calibri"/>
      <family val="2"/>
      <charset val="1"/>
    </font>
    <font>
      <sz val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i val="true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i val="true"/>
      <sz val="10"/>
      <color rgb="FF0000FF"/>
      <name val="Calibri"/>
      <family val="2"/>
      <charset val="1"/>
    </font>
    <font>
      <u val="single"/>
      <sz val="10"/>
      <color theme="1"/>
      <name val="Calibri"/>
      <family val="2"/>
      <charset val="1"/>
    </font>
    <font>
      <sz val="10"/>
      <color rgb="FFFF0000"/>
      <name val="Calibri"/>
      <family val="2"/>
      <charset val="1"/>
    </font>
    <font>
      <i val="true"/>
      <sz val="10"/>
      <color rgb="FFFF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FDE9D9"/>
        <bgColor rgb="FFFFF2CC"/>
      </patternFill>
    </fill>
    <fill>
      <patternFill patternType="solid">
        <fgColor theme="1"/>
        <bgColor rgb="FF003300"/>
      </patternFill>
    </fill>
    <fill>
      <patternFill patternType="solid">
        <fgColor theme="4"/>
        <bgColor rgb="FF44546A"/>
      </patternFill>
    </fill>
    <fill>
      <patternFill patternType="solid">
        <fgColor rgb="FFFFF2CC"/>
        <bgColor rgb="FFFDE9D9"/>
      </patternFill>
    </fill>
    <fill>
      <patternFill patternType="solid">
        <fgColor theme="3" tint="0.7999"/>
        <bgColor rgb="FFF2F2F2"/>
      </patternFill>
    </fill>
    <fill>
      <patternFill patternType="solid">
        <fgColor theme="0" tint="-0.05"/>
        <bgColor rgb="FFFDE9D9"/>
      </patternFill>
    </fill>
    <fill>
      <patternFill patternType="solid">
        <fgColor theme="7"/>
        <bgColor rgb="FFFF99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4546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431640</xdr:colOff>
      <xdr:row>1</xdr:row>
      <xdr:rowOff>31680</xdr:rowOff>
    </xdr:from>
    <xdr:to>
      <xdr:col>18</xdr:col>
      <xdr:colOff>20880</xdr:colOff>
      <xdr:row>28</xdr:row>
      <xdr:rowOff>57600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6796800" y="212760"/>
          <a:ext cx="4481280" cy="491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552600</xdr:colOff>
      <xdr:row>35</xdr:row>
      <xdr:rowOff>80640</xdr:rowOff>
    </xdr:from>
    <xdr:to>
      <xdr:col>9</xdr:col>
      <xdr:colOff>482400</xdr:colOff>
      <xdr:row>45</xdr:row>
      <xdr:rowOff>97560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3735360" y="6414840"/>
          <a:ext cx="2500920" cy="1826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380520</xdr:colOff>
      <xdr:row>31</xdr:row>
      <xdr:rowOff>63360</xdr:rowOff>
    </xdr:from>
    <xdr:to>
      <xdr:col>18</xdr:col>
      <xdr:colOff>14400</xdr:colOff>
      <xdr:row>44</xdr:row>
      <xdr:rowOff>163800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6745680" y="5673600"/>
          <a:ext cx="4525920" cy="2453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203040</xdr:colOff>
      <xdr:row>1</xdr:row>
      <xdr:rowOff>19080</xdr:rowOff>
    </xdr:from>
    <xdr:to>
      <xdr:col>11</xdr:col>
      <xdr:colOff>364680</xdr:colOff>
      <xdr:row>49</xdr:row>
      <xdr:rowOff>18720</xdr:rowOff>
    </xdr:to>
    <xdr:pic>
      <xdr:nvPicPr>
        <xdr:cNvPr id="3" name="Picture 1" descr=""/>
        <xdr:cNvPicPr/>
      </xdr:nvPicPr>
      <xdr:blipFill>
        <a:blip r:embed="rId1"/>
        <a:stretch/>
      </xdr:blipFill>
      <xdr:spPr>
        <a:xfrm>
          <a:off x="203040" y="200160"/>
          <a:ext cx="6888240" cy="868644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oneCell">
    <xdr:from>
      <xdr:col>12</xdr:col>
      <xdr:colOff>303840</xdr:colOff>
      <xdr:row>2</xdr:row>
      <xdr:rowOff>76680</xdr:rowOff>
    </xdr:from>
    <xdr:to>
      <xdr:col>21</xdr:col>
      <xdr:colOff>545400</xdr:colOff>
      <xdr:row>27</xdr:row>
      <xdr:rowOff>167040</xdr:rowOff>
    </xdr:to>
    <xdr:pic>
      <xdr:nvPicPr>
        <xdr:cNvPr id="4" name="Picture 3" descr=""/>
        <xdr:cNvPicPr/>
      </xdr:nvPicPr>
      <xdr:blipFill>
        <a:blip r:embed="rId2"/>
        <a:stretch/>
      </xdr:blipFill>
      <xdr:spPr>
        <a:xfrm>
          <a:off x="7642080" y="438480"/>
          <a:ext cx="5744880" cy="461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584280</xdr:colOff>
      <xdr:row>0</xdr:row>
      <xdr:rowOff>141480</xdr:rowOff>
    </xdr:from>
    <xdr:to>
      <xdr:col>23</xdr:col>
      <xdr:colOff>18720</xdr:colOff>
      <xdr:row>47</xdr:row>
      <xdr:rowOff>153720</xdr:rowOff>
    </xdr:to>
    <xdr:pic>
      <xdr:nvPicPr>
        <xdr:cNvPr id="5" name="Picture 1" descr=""/>
        <xdr:cNvPicPr/>
      </xdr:nvPicPr>
      <xdr:blipFill>
        <a:blip r:embed="rId1"/>
        <a:stretch/>
      </xdr:blipFill>
      <xdr:spPr>
        <a:xfrm>
          <a:off x="7749720" y="141480"/>
          <a:ext cx="6202800" cy="762264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20"/>
  </cols>
  <sheetData>
    <row r="2" customFormat="false" ht="19.7" hidden="false" customHeight="false" outlineLevel="0" collapsed="false">
      <c r="B2" s="1" t="s">
        <v>0</v>
      </c>
    </row>
    <row r="3" customFormat="false" ht="30" hidden="false" customHeight="tru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30" hidden="false" customHeight="true" outlineLevel="0" collapsed="false">
      <c r="B6" s="3" t="s">
        <v>3</v>
      </c>
    </row>
    <row r="7" customFormat="false" ht="45" hidden="false" customHeight="true" outlineLevel="0" collapsed="false">
      <c r="B7" s="3" t="s">
        <v>4</v>
      </c>
    </row>
    <row r="8" customFormat="false" ht="30" hidden="false" customHeight="true" outlineLevel="0" collapsed="false">
      <c r="B8" s="3" t="s">
        <v>5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4" t="s">
        <v>6</v>
      </c>
    </row>
    <row r="11" customFormat="false" ht="45" hidden="false" customHeight="true" outlineLevel="0" collapsed="false">
      <c r="B11" s="3" t="s">
        <v>7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4" t="s">
        <v>8</v>
      </c>
    </row>
    <row r="14" customFormat="false" ht="60" hidden="false" customHeight="true" outlineLevel="0" collapsed="false">
      <c r="B14" s="3" t="s">
        <v>9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4" t="s">
        <v>10</v>
      </c>
    </row>
    <row r="17" customFormat="false" ht="45" hidden="false" customHeight="true" outlineLevel="0" collapsed="false">
      <c r="B17" s="3" t="s">
        <v>11</v>
      </c>
    </row>
    <row r="18" customFormat="false" ht="15" hidden="false" customHeight="false" outlineLevel="0" collapsed="false">
      <c r="B18" s="3"/>
    </row>
    <row r="19" customFormat="false" ht="15" hidden="false" customHeight="false" outlineLevel="0" collapsed="false">
      <c r="B19" s="4" t="s">
        <v>12</v>
      </c>
    </row>
    <row r="20" customFormat="false" ht="60" hidden="false" customHeight="true" outlineLevel="0" collapsed="false">
      <c r="B20" s="3" t="s">
        <v>13</v>
      </c>
    </row>
    <row r="21" customFormat="false" ht="45" hidden="false" customHeight="true" outlineLevel="0" collapsed="false">
      <c r="B21" s="3" t="s">
        <v>14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4" t="s">
        <v>15</v>
      </c>
    </row>
    <row r="24" customFormat="false" ht="45" hidden="false" customHeight="true" outlineLevel="0" collapsed="false">
      <c r="B24" s="3" t="s">
        <v>16</v>
      </c>
    </row>
    <row r="25" customFormat="false" ht="15" hidden="false" customHeight="false" outlineLevel="0" collapsed="false">
      <c r="B25" s="3"/>
    </row>
    <row r="26" customFormat="false" ht="15" hidden="false" customHeight="false" outlineLevel="0" collapsed="false">
      <c r="B26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6" min="15" style="0" width="11"/>
    <col collapsed="false" customWidth="true" hidden="false" outlineLevel="0" max="17" min="17" style="0" width="30"/>
  </cols>
  <sheetData>
    <row r="2" customFormat="false" ht="19.7" hidden="false" customHeight="false" outlineLevel="0" collapsed="false">
      <c r="B2" s="5" t="s">
        <v>0</v>
      </c>
    </row>
    <row r="3" customFormat="false" ht="15" hidden="false" customHeight="false" outlineLevel="0" collapsed="false">
      <c r="B3" s="6" t="s">
        <v>18</v>
      </c>
    </row>
    <row r="5" customFormat="false" ht="26.85" hidden="false" customHeight="false" outlineLevel="0" collapsed="false">
      <c r="B5" s="7" t="s">
        <v>19</v>
      </c>
      <c r="C5" s="7" t="s">
        <v>20</v>
      </c>
      <c r="D5" s="7" t="s">
        <v>21</v>
      </c>
      <c r="E5" s="7" t="s">
        <v>22</v>
      </c>
      <c r="F5" s="7" t="s">
        <v>23</v>
      </c>
      <c r="G5" s="7" t="s">
        <v>24</v>
      </c>
      <c r="H5" s="7" t="s">
        <v>25</v>
      </c>
      <c r="I5" s="7" t="s">
        <v>26</v>
      </c>
      <c r="J5" s="7" t="s">
        <v>27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32</v>
      </c>
      <c r="P5" s="7" t="s">
        <v>33</v>
      </c>
      <c r="Q5" s="7" t="s">
        <v>34</v>
      </c>
    </row>
    <row r="6" customFormat="false" ht="30" hidden="false" customHeight="true" outlineLevel="0" collapsed="false">
      <c r="B6" s="8" t="n">
        <v>1</v>
      </c>
      <c r="C6" s="9" t="s">
        <v>35</v>
      </c>
      <c r="D6" s="9" t="s">
        <v>36</v>
      </c>
      <c r="E6" s="9" t="s">
        <v>37</v>
      </c>
      <c r="F6" s="10" t="n">
        <f aca="false">'P01 KKR-Varsity 2024'!N5</f>
        <v>4750</v>
      </c>
      <c r="G6" s="10" t="n">
        <f aca="false">'P01 KKR-Varsity 2024'!N6</f>
        <v>400</v>
      </c>
      <c r="H6" s="11" t="n">
        <f aca="false">'P01 KKR-Varsity 2024'!N7</f>
        <v>11.875</v>
      </c>
      <c r="I6" s="10" t="n">
        <f aca="false">'P01 KKR-Varsity 2024'!N8</f>
        <v>2475</v>
      </c>
      <c r="J6" s="11" t="n">
        <f aca="false">'P01 KKR-Varsity 2024'!N9</f>
        <v>6.1875</v>
      </c>
      <c r="K6" s="10" t="n">
        <f aca="false">'P01 KKR-Varsity 2024'!E6</f>
        <v>2275</v>
      </c>
      <c r="L6" s="11" t="n">
        <f aca="false">'P01 KKR-Varsity 2024'!N18</f>
        <v>11</v>
      </c>
      <c r="M6" s="11" t="n">
        <f aca="false">'P01 KKR-Varsity 2024'!E45</f>
        <v>1.62529532967033</v>
      </c>
      <c r="N6" s="12" t="n">
        <f aca="false">'P01 KKR-Varsity 2024'!E46</f>
        <v>0.101953717289551</v>
      </c>
      <c r="O6" s="11" t="s">
        <v>38</v>
      </c>
      <c r="P6" s="12" t="s">
        <v>38</v>
      </c>
      <c r="Q6" s="8" t="s">
        <v>39</v>
      </c>
    </row>
    <row r="7" customFormat="false" ht="30" hidden="false" customHeight="true" outlineLevel="0" collapsed="false">
      <c r="B7" s="8" t="n">
        <v>2</v>
      </c>
      <c r="C7" s="9" t="s">
        <v>40</v>
      </c>
      <c r="D7" s="9" t="s">
        <v>41</v>
      </c>
      <c r="E7" s="9" t="s">
        <v>42</v>
      </c>
      <c r="F7" s="10" t="n">
        <f aca="false">'P02 Bain-Varsity 2018'!N5</f>
        <v>2900</v>
      </c>
      <c r="G7" s="10" t="n">
        <f aca="false">'P02 Bain-Varsity 2018'!N6</f>
        <v>290</v>
      </c>
      <c r="H7" s="11" t="n">
        <f aca="false">'P02 Bain-Varsity 2018'!N7</f>
        <v>10</v>
      </c>
      <c r="I7" s="10" t="n">
        <f aca="false">'P02 Bain-Varsity 2018'!N8</f>
        <v>1990</v>
      </c>
      <c r="J7" s="11" t="n">
        <f aca="false">'P02 Bain-Varsity 2018'!N9</f>
        <v>6.86206896551724</v>
      </c>
      <c r="K7" s="10" t="n">
        <f aca="false">'P02 Bain-Varsity 2018'!E6</f>
        <v>910</v>
      </c>
      <c r="L7" s="11" t="n">
        <f aca="false">'P02 Bain-Varsity 2018'!N18</f>
        <v>11.875</v>
      </c>
      <c r="M7" s="11" t="n">
        <f aca="false">'P02 Bain-Varsity 2018'!E45</f>
        <v>3.36434752747253</v>
      </c>
      <c r="N7" s="12" t="n">
        <f aca="false">'P02 Bain-Varsity 2018'!E46</f>
        <v>0.274957717047826</v>
      </c>
      <c r="O7" s="11" t="n">
        <f aca="false">'P02 Bain-Varsity 2018'!E57</f>
        <v>2.53076923076923</v>
      </c>
      <c r="P7" s="12" t="n">
        <f aca="false">'P02 Bain-Varsity 2018'!E58</f>
        <v>0.16509225484879</v>
      </c>
      <c r="Q7" s="8" t="s">
        <v>43</v>
      </c>
    </row>
    <row r="8" customFormat="false" ht="30" hidden="false" customHeight="true" outlineLevel="0" collapsed="false">
      <c r="B8" s="8" t="n">
        <v>3</v>
      </c>
      <c r="C8" s="9" t="s">
        <v>44</v>
      </c>
      <c r="D8" s="9" t="s">
        <v>45</v>
      </c>
      <c r="E8" s="9" t="s">
        <v>46</v>
      </c>
      <c r="F8" s="10" t="n">
        <f aca="false">'P03 Charlesbank-Varsity 2014'!N5</f>
        <v>1500</v>
      </c>
      <c r="G8" s="10" t="n">
        <f aca="false">'P03 Charlesbank-Varsity 2014'!N6</f>
        <v>155</v>
      </c>
      <c r="H8" s="11" t="n">
        <f aca="false">'P03 Charlesbank-Varsity 2014'!N7</f>
        <v>9.67741935483871</v>
      </c>
      <c r="I8" s="10" t="n">
        <f aca="false">'P03 Charlesbank-Varsity 2014'!N8</f>
        <v>1000</v>
      </c>
      <c r="J8" s="11" t="n">
        <f aca="false">'P03 Charlesbank-Varsity 2014'!N9</f>
        <v>6.45161290322581</v>
      </c>
      <c r="K8" s="10" t="n">
        <f aca="false">'P03 Charlesbank-Varsity 2014'!E6</f>
        <v>500</v>
      </c>
      <c r="L8" s="11" t="n">
        <f aca="false">'P03 Charlesbank-Varsity 2014'!N18</f>
        <v>10</v>
      </c>
      <c r="M8" s="11" t="n">
        <f aca="false">'P03 Charlesbank-Varsity 2014'!E45</f>
        <v>2.74423333333333</v>
      </c>
      <c r="N8" s="12" t="n">
        <f aca="false">'P03 Charlesbank-Varsity 2014'!E46</f>
        <v>0.223590755756816</v>
      </c>
      <c r="O8" s="11" t="n">
        <f aca="false">'P03 Charlesbank-Varsity 2014'!E57</f>
        <v>3.8</v>
      </c>
      <c r="P8" s="12" t="n">
        <f aca="false">'P03 Charlesbank-Varsity 2014'!E58</f>
        <v>0.444889389272007</v>
      </c>
      <c r="Q8" s="8"/>
    </row>
    <row r="9" customFormat="false" ht="30" hidden="false" customHeight="true" outlineLevel="0" collapsed="false">
      <c r="B9" s="8" t="n">
        <v>4</v>
      </c>
      <c r="C9" s="9" t="s">
        <v>47</v>
      </c>
      <c r="D9" s="9" t="s">
        <v>48</v>
      </c>
      <c r="E9" s="9" t="s">
        <v>49</v>
      </c>
      <c r="F9" s="10" t="n">
        <f aca="false">'P04 LGP-Varsity 2003'!N5</f>
        <v>144.6</v>
      </c>
      <c r="G9" s="10" t="n">
        <f aca="false">'P04 LGP-Varsity 2003'!N6</f>
        <v>20.7</v>
      </c>
      <c r="H9" s="11" t="n">
        <f aca="false">'P04 LGP-Varsity 2003'!N7</f>
        <v>6.98550724637681</v>
      </c>
      <c r="I9" s="10" t="n">
        <f aca="false">'P04 LGP-Varsity 2003'!N8</f>
        <v>85</v>
      </c>
      <c r="J9" s="11" t="n">
        <f aca="false">'P04 LGP-Varsity 2003'!N9</f>
        <v>4.10628019323672</v>
      </c>
      <c r="K9" s="10" t="n">
        <f aca="false">'P04 LGP-Varsity 2003'!E6</f>
        <v>59.6</v>
      </c>
      <c r="L9" s="11" t="n">
        <f aca="false">'P04 LGP-Varsity 2003'!N18</f>
        <v>7</v>
      </c>
      <c r="M9" s="11" t="n">
        <f aca="false">'P04 LGP-Varsity 2003'!E45</f>
        <v>2.82486231741019</v>
      </c>
      <c r="N9" s="12" t="n">
        <f aca="false">'P04 LGP-Varsity 2003'!E46</f>
        <v>0.230554113613293</v>
      </c>
      <c r="O9" s="11" t="s">
        <v>38</v>
      </c>
      <c r="P9" s="12" t="s">
        <v>38</v>
      </c>
      <c r="Q9" s="8"/>
    </row>
    <row r="10" customFormat="false" ht="30" hidden="false" customHeight="true" outlineLevel="0" collapsed="false">
      <c r="B10" s="8" t="n">
        <v>5</v>
      </c>
      <c r="C10" s="9" t="s">
        <v>50</v>
      </c>
      <c r="D10" s="9" t="s">
        <v>51</v>
      </c>
      <c r="E10" s="9" t="s">
        <v>52</v>
      </c>
      <c r="F10" s="10" t="n">
        <f aca="false">'P05 ONCAP-SportSupply 2010'!N5</f>
        <v>180.2</v>
      </c>
      <c r="G10" s="10" t="n">
        <f aca="false">'P05 ONCAP-SportSupply 2010'!N6</f>
        <v>25.8</v>
      </c>
      <c r="H10" s="11" t="n">
        <f aca="false">'P05 ONCAP-SportSupply 2010'!N7</f>
        <v>6.98449612403101</v>
      </c>
      <c r="I10" s="10" t="n">
        <f aca="false">'P05 ONCAP-SportSupply 2010'!N8</f>
        <v>101.1</v>
      </c>
      <c r="J10" s="11" t="n">
        <f aca="false">'P05 ONCAP-SportSupply 2010'!N9</f>
        <v>3.91860465116279</v>
      </c>
      <c r="K10" s="10" t="n">
        <f aca="false">'P05 ONCAP-SportSupply 2010'!E6</f>
        <v>79.1</v>
      </c>
      <c r="L10" s="11" t="n">
        <f aca="false">'P05 ONCAP-SportSupply 2010'!N18</f>
        <v>7</v>
      </c>
      <c r="M10" s="11" t="n">
        <f aca="false">'P05 ONCAP-SportSupply 2010'!E45</f>
        <v>2.34635064706961</v>
      </c>
      <c r="N10" s="12" t="n">
        <f aca="false">'P05 ONCAP-SportSupply 2010'!E46</f>
        <v>0.185872544305611</v>
      </c>
      <c r="O10" s="11" t="s">
        <v>38</v>
      </c>
      <c r="P10" s="12" t="s">
        <v>38</v>
      </c>
      <c r="Q10" s="8"/>
    </row>
    <row r="11" customFormat="false" ht="30" hidden="false" customHeight="true" outlineLevel="0" collapsed="false">
      <c r="B11" s="8" t="n">
        <v>6</v>
      </c>
      <c r="C11" s="9" t="s">
        <v>53</v>
      </c>
      <c r="D11" s="9" t="s">
        <v>54</v>
      </c>
      <c r="E11" s="9" t="s">
        <v>55</v>
      </c>
      <c r="F11" s="10" t="n">
        <f aca="false">'P06 Cerberus-Chrysler 2007'!N5</f>
        <v>17400</v>
      </c>
      <c r="G11" s="10" t="n">
        <f aca="false">'P06 Cerberus-Chrysler 2007'!N6</f>
        <v>1500</v>
      </c>
      <c r="H11" s="11" t="n">
        <f aca="false">'P06 Cerberus-Chrysler 2007'!N7</f>
        <v>11.6</v>
      </c>
      <c r="I11" s="10" t="n">
        <f aca="false">'P06 Cerberus-Chrysler 2007'!N8</f>
        <v>12000</v>
      </c>
      <c r="J11" s="11" t="n">
        <f aca="false">'P06 Cerberus-Chrysler 2007'!N9</f>
        <v>8</v>
      </c>
      <c r="K11" s="10" t="n">
        <f aca="false">'P06 Cerberus-Chrysler 2007'!E6</f>
        <v>5400</v>
      </c>
      <c r="L11" s="11" t="n">
        <f aca="false">'P06 Cerberus-Chrysler 2007'!N18</f>
        <v>6</v>
      </c>
      <c r="M11" s="11" t="n">
        <f aca="false">'P06 Cerberus-Chrysler 2007'!E45</f>
        <v>1.92041666666667</v>
      </c>
      <c r="N11" s="12" t="n">
        <f aca="false">'P06 Cerberus-Chrysler 2007'!E46</f>
        <v>0.139244779670162</v>
      </c>
      <c r="O11" s="11" t="n">
        <f aca="false">'P06 Cerberus-Chrysler 2007'!E57</f>
        <v>-0.907407407407407</v>
      </c>
      <c r="P11" s="12" t="str">
        <f aca="false">'P06 Cerberus-Chrysler 2007'!E58</f>
        <v>n/m</v>
      </c>
      <c r="Q11" s="8" t="s">
        <v>56</v>
      </c>
    </row>
    <row r="12" customFormat="false" ht="30" hidden="false" customHeight="true" outlineLevel="0" collapsed="false">
      <c r="B12" s="8" t="n">
        <v>7</v>
      </c>
      <c r="C12" s="13" t="s">
        <v>57</v>
      </c>
      <c r="D12" s="13" t="s">
        <v>58</v>
      </c>
      <c r="E12" s="9" t="s">
        <v>59</v>
      </c>
      <c r="F12" s="10" t="n">
        <f aca="false">'P07 Caterpillar-Bucyrus 2011'!N5</f>
        <v>8800</v>
      </c>
      <c r="G12" s="10" t="n">
        <f aca="false">'P07 Caterpillar-Bucyrus 2011'!N6</f>
        <v>637.3</v>
      </c>
      <c r="H12" s="11" t="n">
        <f aca="false">'P07 Caterpillar-Bucyrus 2011'!N7</f>
        <v>13.8082535697474</v>
      </c>
      <c r="I12" s="10" t="n">
        <f aca="false">'P07 Caterpillar-Bucyrus 2011'!N8</f>
        <v>4500</v>
      </c>
      <c r="J12" s="11" t="n">
        <f aca="false">'P07 Caterpillar-Bucyrus 2011'!N9</f>
        <v>7.06103875725718</v>
      </c>
      <c r="K12" s="10" t="n">
        <f aca="false">'P07 Caterpillar-Bucyrus 2011'!E6</f>
        <v>4300</v>
      </c>
      <c r="L12" s="11" t="n">
        <f aca="false">'P07 Caterpillar-Bucyrus 2011'!N18</f>
        <v>10</v>
      </c>
      <c r="M12" s="11" t="n">
        <f aca="false">'P07 Caterpillar-Bucyrus 2011'!E45</f>
        <v>2.91078488372093</v>
      </c>
      <c r="N12" s="12" t="n">
        <f aca="false">'P07 Caterpillar-Bucyrus 2011'!E46</f>
        <v>0.237942384939141</v>
      </c>
      <c r="O12" s="11" t="s">
        <v>38</v>
      </c>
      <c r="P12" s="12" t="s">
        <v>38</v>
      </c>
      <c r="Q12" s="8" t="s">
        <v>60</v>
      </c>
    </row>
    <row r="13" customFormat="false" ht="30" hidden="false" customHeight="true" outlineLevel="0" collapsed="false">
      <c r="B13" s="8" t="n">
        <v>8</v>
      </c>
      <c r="C13" s="13" t="s">
        <v>61</v>
      </c>
      <c r="D13" s="13" t="s">
        <v>62</v>
      </c>
      <c r="E13" s="9" t="s">
        <v>63</v>
      </c>
      <c r="F13" s="10" t="n">
        <f aca="false">'P08 NRG-DirectEnergy 2021'!N5</f>
        <v>3625</v>
      </c>
      <c r="G13" s="10" t="n">
        <f aca="false">'P08 NRG-DirectEnergy 2021'!N6</f>
        <v>457</v>
      </c>
      <c r="H13" s="11" t="n">
        <f aca="false">'P08 NRG-DirectEnergy 2021'!N7</f>
        <v>7.93216630196937</v>
      </c>
      <c r="I13" s="10" t="n">
        <f aca="false">'P08 NRG-DirectEnergy 2021'!N8</f>
        <v>2930</v>
      </c>
      <c r="J13" s="11" t="n">
        <f aca="false">'P08 NRG-DirectEnergy 2021'!N9</f>
        <v>6.41137855579869</v>
      </c>
      <c r="K13" s="10" t="n">
        <f aca="false">'P08 NRG-DirectEnergy 2021'!E6</f>
        <v>695</v>
      </c>
      <c r="L13" s="11" t="n">
        <f aca="false">'P08 NRG-DirectEnergy 2021'!N18</f>
        <v>8</v>
      </c>
      <c r="M13" s="11" t="n">
        <f aca="false">'P08 NRG-DirectEnergy 2021'!E45</f>
        <v>7.46660535251799</v>
      </c>
      <c r="N13" s="12" t="n">
        <f aca="false">'P08 NRG-DirectEnergy 2021'!E46</f>
        <v>0.494613866351673</v>
      </c>
      <c r="O13" s="11" t="s">
        <v>38</v>
      </c>
      <c r="P13" s="12" t="s">
        <v>38</v>
      </c>
      <c r="Q13" s="8"/>
    </row>
    <row r="14" customFormat="false" ht="30" hidden="false" customHeight="true" outlineLevel="0" collapsed="false">
      <c r="B14" s="8" t="n">
        <v>9</v>
      </c>
      <c r="C14" s="9" t="s">
        <v>64</v>
      </c>
      <c r="D14" s="9" t="s">
        <v>65</v>
      </c>
      <c r="E14" s="9" t="s">
        <v>66</v>
      </c>
      <c r="F14" s="10" t="n">
        <f aca="false">'P09 WindPoint-Pacific 2001'!N5</f>
        <v>146</v>
      </c>
      <c r="G14" s="10" t="n">
        <f aca="false">'P09 WindPoint-Pacific 2001'!N6</f>
        <v>22</v>
      </c>
      <c r="H14" s="11" t="n">
        <f aca="false">'P09 WindPoint-Pacific 2001'!N7</f>
        <v>6.63636363636364</v>
      </c>
      <c r="I14" s="10" t="n">
        <f aca="false">'P09 WindPoint-Pacific 2001'!N8</f>
        <v>120</v>
      </c>
      <c r="J14" s="11" t="n">
        <f aca="false">'P09 WindPoint-Pacific 2001'!N9</f>
        <v>5.45454545454545</v>
      </c>
      <c r="K14" s="10" t="n">
        <f aca="false">'P09 WindPoint-Pacific 2001'!E6</f>
        <v>26</v>
      </c>
      <c r="L14" s="11" t="n">
        <f aca="false">'P09 WindPoint-Pacific 2001'!N18</f>
        <v>5.8</v>
      </c>
      <c r="M14" s="11" t="n">
        <f aca="false">'P09 WindPoint-Pacific 2001'!E45</f>
        <v>3.52478021978022</v>
      </c>
      <c r="N14" s="12" t="n">
        <f aca="false">'P09 WindPoint-Pacific 2001'!E46</f>
        <v>0.286726961541476</v>
      </c>
      <c r="O14" s="11" t="n">
        <f aca="false">'P09 WindPoint-Pacific 2001'!E57</f>
        <v>8.46153846153846</v>
      </c>
      <c r="P14" s="12" t="n">
        <f aca="false">'P09 WindPoint-Pacific 2001'!E58</f>
        <v>1.48579968745978</v>
      </c>
      <c r="Q14" s="8"/>
    </row>
    <row r="15" customFormat="false" ht="30" hidden="false" customHeight="true" outlineLevel="0" collapsed="false">
      <c r="B15" s="8" t="n">
        <v>10</v>
      </c>
      <c r="C15" s="9" t="s">
        <v>67</v>
      </c>
      <c r="D15" s="9" t="s">
        <v>68</v>
      </c>
      <c r="E15" s="9" t="s">
        <v>69</v>
      </c>
      <c r="F15" s="10" t="n">
        <f aca="false">'P10 Pegasus-Cannondale 2003'!N5</f>
        <v>58</v>
      </c>
      <c r="G15" s="10" t="n">
        <f aca="false">'P10 Pegasus-Cannondale 2003'!N6</f>
        <v>8</v>
      </c>
      <c r="H15" s="11" t="n">
        <f aca="false">'P10 Pegasus-Cannondale 2003'!N7</f>
        <v>7.25</v>
      </c>
      <c r="I15" s="10" t="n">
        <f aca="false">'P10 Pegasus-Cannondale 2003'!N8</f>
        <v>30</v>
      </c>
      <c r="J15" s="11" t="n">
        <f aca="false">'P10 Pegasus-Cannondale 2003'!N9</f>
        <v>3.75</v>
      </c>
      <c r="K15" s="10" t="n">
        <f aca="false">'P10 Pegasus-Cannondale 2003'!E6</f>
        <v>28</v>
      </c>
      <c r="L15" s="11" t="n">
        <f aca="false">'P10 Pegasus-Cannondale 2003'!N18</f>
        <v>9.75</v>
      </c>
      <c r="M15" s="11" t="n">
        <f aca="false">'P10 Pegasus-Cannondale 2003'!E45</f>
        <v>6.52992857142857</v>
      </c>
      <c r="N15" s="12" t="n">
        <f aca="false">'P10 Pegasus-Cannondale 2003'!E46</f>
        <v>0.454799930373307</v>
      </c>
      <c r="O15" s="11" t="n">
        <f aca="false">'P10 Pegasus-Cannondale 2003'!E57</f>
        <v>5.89285714285714</v>
      </c>
      <c r="P15" s="12" t="n">
        <f aca="false">'P10 Pegasus-Cannondale 2003'!E58</f>
        <v>0.438079200062588</v>
      </c>
      <c r="Q15" s="8"/>
    </row>
    <row r="16" customFormat="false" ht="30" hidden="false" customHeight="true" outlineLevel="0" collapsed="false">
      <c r="B16" s="8" t="n">
        <v>11</v>
      </c>
      <c r="C16" s="9" t="s">
        <v>70</v>
      </c>
      <c r="D16" s="9" t="s">
        <v>71</v>
      </c>
      <c r="E16" s="9" t="s">
        <v>72</v>
      </c>
      <c r="F16" s="10" t="n">
        <f aca="false">'P11 Cerberus-Dorel 2021 TERM'!N5</f>
        <v>1012</v>
      </c>
      <c r="G16" s="10" t="n">
        <f aca="false">'P11 Cerberus-Dorel 2021 TERM'!N6</f>
        <v>119.6</v>
      </c>
      <c r="H16" s="11" t="n">
        <f aca="false">'P11 Cerberus-Dorel 2021 TERM'!N7</f>
        <v>8.46153846153846</v>
      </c>
      <c r="I16" s="10" t="n">
        <f aca="false">'P11 Cerberus-Dorel 2021 TERM'!N8</f>
        <v>500</v>
      </c>
      <c r="J16" s="11" t="n">
        <f aca="false">'P11 Cerberus-Dorel 2021 TERM'!N9</f>
        <v>4.18060200668896</v>
      </c>
      <c r="K16" s="10" t="n">
        <f aca="false">'P11 Cerberus-Dorel 2021 TERM'!E6</f>
        <v>512</v>
      </c>
      <c r="L16" s="11" t="n">
        <f aca="false">'P11 Cerberus-Dorel 2021 TERM'!N18</f>
        <v>8.5</v>
      </c>
      <c r="M16" s="11" t="n">
        <f aca="false">'P11 Cerberus-Dorel 2021 TERM'!E45</f>
        <v>1.84139682904412</v>
      </c>
      <c r="N16" s="12" t="n">
        <f aca="false">'P11 Cerberus-Dorel 2021 TERM'!E46</f>
        <v>0.129797051126738</v>
      </c>
      <c r="O16" s="11" t="n">
        <f aca="false">'P11 Cerberus-Dorel 2021 TERM'!E57</f>
        <v>1.8359375</v>
      </c>
      <c r="P16" s="12" t="n">
        <f aca="false">'P11 Cerberus-Dorel 2021 TERM'!E58</f>
        <v>0.129126703424926</v>
      </c>
      <c r="Q16" s="8"/>
    </row>
    <row r="18" customFormat="false" ht="15" hidden="false" customHeight="false" outlineLevel="0" collapsed="false">
      <c r="B18" s="14" t="s">
        <v>73</v>
      </c>
    </row>
    <row r="19" customFormat="false" ht="15" hidden="false" customHeight="false" outlineLevel="0" collapsed="false">
      <c r="B19" s="0" t="s">
        <v>74</v>
      </c>
      <c r="F19" s="0" t="n">
        <f aca="false">COUNTIF(O6:O16,"&gt;0")</f>
        <v>5</v>
      </c>
    </row>
    <row r="20" customFormat="false" ht="15" hidden="false" customHeight="false" outlineLevel="0" collapsed="false">
      <c r="B20" s="0" t="s">
        <v>75</v>
      </c>
      <c r="F20" s="15" t="n">
        <f aca="false">MEDIAN(M6:M16)</f>
        <v>2.82486231741019</v>
      </c>
    </row>
    <row r="21" customFormat="false" ht="15" hidden="false" customHeight="false" outlineLevel="0" collapsed="false">
      <c r="B21" s="0" t="s">
        <v>76</v>
      </c>
      <c r="F21" s="15" t="n">
        <f aca="false">IFERROR(MEDIAN(O6:O16),"n/a")</f>
        <v>3.16538461538462</v>
      </c>
    </row>
    <row r="22" customFormat="false" ht="15" hidden="false" customHeight="false" outlineLevel="0" collapsed="false">
      <c r="B22" s="0" t="s">
        <v>77</v>
      </c>
      <c r="F22" s="16" t="n">
        <f aca="false">SUM(F6:F16)</f>
        <v>40515.8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78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2475</v>
      </c>
      <c r="F5" s="21"/>
      <c r="G5" s="22" t="s">
        <v>85</v>
      </c>
      <c r="J5" s="20" t="n">
        <f aca="false">J12</f>
        <v>4750</v>
      </c>
      <c r="L5" s="23" t="s">
        <v>86</v>
      </c>
      <c r="N5" s="24" t="n">
        <v>4750</v>
      </c>
      <c r="O5" s="25" t="s">
        <v>87</v>
      </c>
      <c r="P5" s="26" t="s">
        <v>88</v>
      </c>
    </row>
    <row r="6" customFormat="false" ht="14.25" hidden="false" customHeight="false" outlineLevel="0" collapsed="false">
      <c r="B6" s="0" t="s">
        <v>89</v>
      </c>
      <c r="E6" s="20" t="n">
        <f aca="false">E7-E5</f>
        <v>2275</v>
      </c>
      <c r="L6" s="23" t="s">
        <v>90</v>
      </c>
      <c r="N6" s="24" t="n">
        <v>400</v>
      </c>
      <c r="O6" s="25" t="s">
        <v>87</v>
      </c>
      <c r="P6" s="26" t="s">
        <v>91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4750</v>
      </c>
      <c r="G7" s="27" t="s">
        <v>93</v>
      </c>
      <c r="H7" s="27"/>
      <c r="I7" s="27"/>
      <c r="J7" s="28" t="n">
        <f aca="false">J5</f>
        <v>4750</v>
      </c>
      <c r="L7" s="23" t="s">
        <v>94</v>
      </c>
      <c r="N7" s="29" t="n">
        <f aca="false">N5/N6</f>
        <v>11.875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24" t="n">
        <v>2475</v>
      </c>
      <c r="O8" s="25" t="s">
        <v>98</v>
      </c>
      <c r="P8" s="26" t="s">
        <v>99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6.1875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103</v>
      </c>
      <c r="E10" s="20" t="n">
        <f aca="false">E18</f>
        <v>400</v>
      </c>
      <c r="G10" s="22" t="s">
        <v>103</v>
      </c>
      <c r="J10" s="20" t="n">
        <f aca="false">E18</f>
        <v>400</v>
      </c>
      <c r="L10" s="23" t="s">
        <v>104</v>
      </c>
      <c r="N10" s="31" t="n">
        <v>0.0905</v>
      </c>
      <c r="O10" s="25" t="s">
        <v>98</v>
      </c>
      <c r="P10" s="26" t="s">
        <v>105</v>
      </c>
    </row>
    <row r="11" customFormat="false" ht="14.25" hidden="false" customHeight="false" outlineLevel="0" collapsed="false">
      <c r="B11" s="0" t="s">
        <v>106</v>
      </c>
      <c r="E11" s="32" t="n">
        <f aca="false">N9</f>
        <v>6.1875</v>
      </c>
      <c r="G11" s="22" t="s">
        <v>107</v>
      </c>
      <c r="J11" s="32" t="n">
        <f aca="false">N7</f>
        <v>11.875</v>
      </c>
      <c r="L11" s="23" t="s">
        <v>108</v>
      </c>
      <c r="N11" s="33" t="n">
        <v>0.25</v>
      </c>
      <c r="O11" s="25" t="s">
        <v>109</v>
      </c>
      <c r="P11" s="26" t="s">
        <v>110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2475</v>
      </c>
      <c r="G12" s="34" t="s">
        <v>85</v>
      </c>
      <c r="H12" s="34"/>
      <c r="I12" s="34"/>
      <c r="J12" s="35" t="n">
        <f aca="false">J10*J11</f>
        <v>4750</v>
      </c>
      <c r="L12" s="23" t="s">
        <v>111</v>
      </c>
      <c r="N12" s="24" t="n">
        <v>2600</v>
      </c>
      <c r="O12" s="25" t="s">
        <v>98</v>
      </c>
      <c r="P12" s="26" t="s">
        <v>112</v>
      </c>
    </row>
    <row r="13" customFormat="false" ht="14.25" hidden="false" customHeight="false" outlineLevel="0" collapsed="false">
      <c r="L13" s="23" t="s">
        <v>113</v>
      </c>
      <c r="N13" s="36" t="n">
        <v>130</v>
      </c>
      <c r="O13" s="25" t="s">
        <v>109</v>
      </c>
      <c r="P13" s="26" t="s">
        <v>114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2024</v>
      </c>
      <c r="F14" s="39" t="n">
        <f aca="false">E14+1</f>
        <v>2025</v>
      </c>
      <c r="G14" s="39" t="n">
        <f aca="false">F14+1</f>
        <v>2026</v>
      </c>
      <c r="H14" s="39" t="n">
        <f aca="false">G14+1</f>
        <v>2027</v>
      </c>
      <c r="I14" s="39" t="n">
        <f aca="false">H14+1</f>
        <v>2028</v>
      </c>
      <c r="J14" s="39" t="n">
        <f aca="false">I14+1</f>
        <v>2029</v>
      </c>
      <c r="L14" s="23" t="s">
        <v>116</v>
      </c>
      <c r="N14" s="31" t="n">
        <f aca="false">N6/N12</f>
        <v>0.153846153846154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2600</v>
      </c>
      <c r="F15" s="20" t="n">
        <f aca="false">E15+F16</f>
        <v>2730</v>
      </c>
      <c r="G15" s="20" t="n">
        <f aca="false">F15+G16</f>
        <v>2860</v>
      </c>
      <c r="H15" s="20" t="n">
        <f aca="false">G15+H16</f>
        <v>2990</v>
      </c>
      <c r="I15" s="20" t="n">
        <f aca="false">H15+I16</f>
        <v>3120</v>
      </c>
      <c r="J15" s="20" t="n">
        <f aca="false">I15+J16</f>
        <v>3250</v>
      </c>
      <c r="L15" s="23" t="s">
        <v>118</v>
      </c>
      <c r="N15" s="36" t="n">
        <v>78</v>
      </c>
      <c r="O15" s="25" t="s">
        <v>109</v>
      </c>
      <c r="P15" s="26" t="s">
        <v>119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130</v>
      </c>
      <c r="G16" s="41" t="n">
        <f aca="false">F16</f>
        <v>130</v>
      </c>
      <c r="H16" s="41" t="n">
        <f aca="false">G16</f>
        <v>130</v>
      </c>
      <c r="I16" s="41" t="n">
        <f aca="false">H16</f>
        <v>130</v>
      </c>
      <c r="J16" s="41" t="n">
        <f aca="false">I16</f>
        <v>130</v>
      </c>
      <c r="L16" s="23" t="s">
        <v>121</v>
      </c>
      <c r="N16" s="36" t="n">
        <v>62</v>
      </c>
      <c r="O16" s="25" t="s">
        <v>109</v>
      </c>
      <c r="P16" s="26" t="s">
        <v>122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400</v>
      </c>
      <c r="F18" s="20" t="n">
        <f aca="false">F19*F15</f>
        <v>420</v>
      </c>
      <c r="G18" s="20" t="n">
        <f aca="false">G19*G15</f>
        <v>440</v>
      </c>
      <c r="H18" s="20" t="n">
        <f aca="false">H19*H15</f>
        <v>460</v>
      </c>
      <c r="I18" s="20" t="n">
        <f aca="false">I19*I15</f>
        <v>480</v>
      </c>
      <c r="J18" s="20" t="n">
        <f aca="false">J19*J15</f>
        <v>500</v>
      </c>
      <c r="L18" s="23" t="s">
        <v>126</v>
      </c>
      <c r="N18" s="42" t="n">
        <v>11</v>
      </c>
      <c r="O18" s="25" t="s">
        <v>109</v>
      </c>
      <c r="P18" s="26" t="s">
        <v>127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0.153846153846154</v>
      </c>
      <c r="F19" s="43" t="n">
        <f aca="false">E19</f>
        <v>0.153846153846154</v>
      </c>
      <c r="G19" s="43" t="n">
        <f aca="false">F19</f>
        <v>0.153846153846154</v>
      </c>
      <c r="H19" s="43" t="n">
        <f aca="false">G19</f>
        <v>0.153846153846154</v>
      </c>
      <c r="I19" s="43" t="n">
        <f aca="false">H19</f>
        <v>0.153846153846154</v>
      </c>
      <c r="J19" s="43" t="n">
        <f aca="false">I19</f>
        <v>0.153846153846154</v>
      </c>
      <c r="L19" s="23" t="s">
        <v>129</v>
      </c>
      <c r="N19" s="44" t="n">
        <v>45530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47356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s">
        <v>38</v>
      </c>
      <c r="O21" s="25" t="s">
        <v>98</v>
      </c>
      <c r="P21" s="26" t="s">
        <v>135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420</v>
      </c>
      <c r="G22" s="46" t="n">
        <f aca="false">G18</f>
        <v>440</v>
      </c>
      <c r="H22" s="46" t="n">
        <f aca="false">H18</f>
        <v>460</v>
      </c>
      <c r="I22" s="46" t="n">
        <f aca="false">I18</f>
        <v>480</v>
      </c>
      <c r="J22" s="46" t="n">
        <f aca="false">J18</f>
        <v>500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-78</v>
      </c>
      <c r="G23" s="46" t="n">
        <f aca="false">-$N$15</f>
        <v>-78</v>
      </c>
      <c r="H23" s="46" t="n">
        <f aca="false">-$N$15</f>
        <v>-78</v>
      </c>
      <c r="I23" s="46" t="n">
        <f aca="false">-$N$15</f>
        <v>-78</v>
      </c>
      <c r="J23" s="46" t="n">
        <f aca="false">-$N$15</f>
        <v>-78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342</v>
      </c>
      <c r="G24" s="47" t="n">
        <f aca="false">G22+G23</f>
        <v>362</v>
      </c>
      <c r="H24" s="47" t="n">
        <f aca="false">H22+H23</f>
        <v>382</v>
      </c>
      <c r="I24" s="47" t="n">
        <f aca="false">I22+I23</f>
        <v>402</v>
      </c>
      <c r="J24" s="47" t="n">
        <f aca="false">J22+J23</f>
        <v>422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0.0905</v>
      </c>
      <c r="E25" s="46"/>
      <c r="F25" s="46" t="n">
        <f aca="false">$E$12*-$D$25</f>
        <v>-223.9875</v>
      </c>
      <c r="G25" s="46" t="n">
        <f aca="false">$E$12*-$D$25</f>
        <v>-223.9875</v>
      </c>
      <c r="H25" s="46" t="n">
        <f aca="false">$E$12*-$D$25</f>
        <v>-223.9875</v>
      </c>
      <c r="I25" s="46" t="n">
        <f aca="false">$E$12*-$D$25</f>
        <v>-223.9875</v>
      </c>
      <c r="J25" s="46" t="n">
        <f aca="false">$E$12*-$D$25</f>
        <v>-223.9875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118.0125</v>
      </c>
      <c r="G26" s="47" t="n">
        <f aca="false">G24+G25</f>
        <v>138.0125</v>
      </c>
      <c r="H26" s="47" t="n">
        <f aca="false">H24+H25</f>
        <v>158.0125</v>
      </c>
      <c r="I26" s="47" t="n">
        <f aca="false">I24+I25</f>
        <v>178.0125</v>
      </c>
      <c r="J26" s="47" t="n">
        <f aca="false">J24+J25</f>
        <v>198.0125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0.25</v>
      </c>
      <c r="E27" s="46"/>
      <c r="F27" s="46" t="n">
        <f aca="false">F26*-$D27</f>
        <v>-29.503125</v>
      </c>
      <c r="G27" s="46" t="n">
        <f aca="false">G26*-$D27</f>
        <v>-34.503125</v>
      </c>
      <c r="H27" s="46" t="n">
        <f aca="false">H26*-$D27</f>
        <v>-39.503125</v>
      </c>
      <c r="I27" s="46" t="n">
        <f aca="false">I26*-$D27</f>
        <v>-44.503125</v>
      </c>
      <c r="J27" s="46" t="n">
        <f aca="false">J26*-$D27</f>
        <v>-49.503125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88.509375</v>
      </c>
      <c r="G28" s="47" t="n">
        <f aca="false">G26+G27</f>
        <v>103.509375</v>
      </c>
      <c r="H28" s="47" t="n">
        <f aca="false">H26+H27</f>
        <v>118.509375</v>
      </c>
      <c r="I28" s="47" t="n">
        <f aca="false">I26+I27</f>
        <v>133.509375</v>
      </c>
      <c r="J28" s="47" t="n">
        <f aca="false">J26+J27</f>
        <v>148.509375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78</v>
      </c>
      <c r="G29" s="46" t="n">
        <f aca="false">-G23</f>
        <v>78</v>
      </c>
      <c r="H29" s="46" t="n">
        <f aca="false">-H23</f>
        <v>78</v>
      </c>
      <c r="I29" s="46" t="n">
        <f aca="false">-I23</f>
        <v>78</v>
      </c>
      <c r="J29" s="46" t="n">
        <f aca="false">-J23</f>
        <v>78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-62</v>
      </c>
      <c r="G30" s="46" t="n">
        <f aca="false">-$N$16</f>
        <v>-62</v>
      </c>
      <c r="H30" s="46" t="n">
        <f aca="false">-$N$16</f>
        <v>-62</v>
      </c>
      <c r="I30" s="46" t="n">
        <f aca="false">-$N$16</f>
        <v>-62</v>
      </c>
      <c r="J30" s="46" t="n">
        <f aca="false">-$N$16</f>
        <v>-62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104.509375</v>
      </c>
      <c r="G32" s="47" t="n">
        <f aca="false">SUM(G28:G31)</f>
        <v>119.509375</v>
      </c>
      <c r="H32" s="47" t="n">
        <f aca="false">SUM(H28:H31)</f>
        <v>134.509375</v>
      </c>
      <c r="I32" s="47" t="n">
        <f aca="false">SUM(I28:I31)</f>
        <v>149.509375</v>
      </c>
      <c r="J32" s="47" t="n">
        <f aca="false">SUM(J28:J31)</f>
        <v>164.509375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104.509375</v>
      </c>
      <c r="G33" s="48" t="n">
        <f aca="false">SUM($E32:G32)</f>
        <v>224.01875</v>
      </c>
      <c r="H33" s="48" t="n">
        <f aca="false">SUM($E32:H32)</f>
        <v>358.528125</v>
      </c>
      <c r="I33" s="48" t="n">
        <f aca="false">SUM($E32:I32)</f>
        <v>508.0375</v>
      </c>
      <c r="J33" s="48" t="n">
        <f aca="false">SUM($E32:J32)</f>
        <v>672.546875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148</v>
      </c>
      <c r="E37" s="46" t="n">
        <f aca="false">J18</f>
        <v>500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11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5500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-2475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672.546875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3697.546875</v>
      </c>
    </row>
    <row r="43" customFormat="false" ht="14.25" hidden="false" customHeight="false" outlineLevel="0" collapsed="false">
      <c r="B43" s="0" t="s">
        <v>154</v>
      </c>
      <c r="E43" s="46" t="n">
        <f aca="false">E6</f>
        <v>2275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1.62529532967033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0.101953717289551</v>
      </c>
    </row>
    <row r="48" customFormat="false" ht="14.25" hidden="false" customHeight="false" outlineLevel="0" collapsed="false">
      <c r="B48" s="51" t="n">
        <f aca="false">N19</f>
        <v>45530</v>
      </c>
      <c r="E48" s="46" t="n">
        <f aca="false">-E6</f>
        <v>-2275</v>
      </c>
    </row>
    <row r="49" customFormat="false" ht="14.25" hidden="false" customHeight="false" outlineLevel="0" collapsed="false">
      <c r="B49" s="51" t="n">
        <f aca="false">N20</f>
        <v>47356</v>
      </c>
      <c r="E49" s="46" t="n">
        <f aca="false">E42</f>
        <v>3697.546875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6" t="s">
        <v>159</v>
      </c>
    </row>
    <row r="54" customFormat="false" ht="14.25" hidden="false" customHeight="false" outlineLevel="0" collapsed="false">
      <c r="B54" s="54" t="s">
        <v>160</v>
      </c>
    </row>
    <row r="55" customFormat="false" ht="14.25" hidden="false" customHeight="false" outlineLevel="0" collapsed="false">
      <c r="B55" s="54" t="s">
        <v>161</v>
      </c>
    </row>
    <row r="56" customFormat="false" ht="14.25" hidden="false" customHeight="false" outlineLevel="0" collapsed="false">
      <c r="B56" s="54" t="s">
        <v>162</v>
      </c>
    </row>
    <row r="57" customFormat="false" ht="14.25" hidden="false" customHeight="false" outlineLevel="0" collapsed="false">
      <c r="B57" s="54" t="s">
        <v>163</v>
      </c>
    </row>
    <row r="58" customFormat="false" ht="14.25" hidden="false" customHeight="false" outlineLevel="0" collapsed="false">
      <c r="B58" s="54" t="s">
        <v>164</v>
      </c>
    </row>
    <row r="59" customFormat="false" ht="14.25" hidden="false" customHeight="false" outlineLevel="0" collapsed="false">
      <c r="B59" s="54" t="s">
        <v>165</v>
      </c>
    </row>
    <row r="60" customFormat="false" ht="14.25" hidden="false" customHeight="false" outlineLevel="0" collapsed="false">
      <c r="B60" s="54" t="s">
        <v>166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168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170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171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172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1990</v>
      </c>
      <c r="F5" s="21"/>
      <c r="G5" s="22" t="s">
        <v>85</v>
      </c>
      <c r="J5" s="20" t="n">
        <f aca="false">J12</f>
        <v>2900</v>
      </c>
      <c r="L5" s="23" t="s">
        <v>86</v>
      </c>
      <c r="N5" s="24" t="n">
        <v>2900</v>
      </c>
      <c r="O5" s="25" t="s">
        <v>98</v>
      </c>
      <c r="P5" s="26" t="s">
        <v>173</v>
      </c>
    </row>
    <row r="6" customFormat="false" ht="22.35" hidden="false" customHeight="false" outlineLevel="0" collapsed="false">
      <c r="B6" s="0" t="s">
        <v>89</v>
      </c>
      <c r="E6" s="20" t="n">
        <f aca="false">E7-E5</f>
        <v>910</v>
      </c>
      <c r="L6" s="23" t="s">
        <v>90</v>
      </c>
      <c r="N6" s="36" t="n">
        <v>290</v>
      </c>
      <c r="O6" s="25" t="s">
        <v>109</v>
      </c>
      <c r="P6" s="26" t="s">
        <v>174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2900</v>
      </c>
      <c r="G7" s="27" t="s">
        <v>93</v>
      </c>
      <c r="H7" s="27"/>
      <c r="I7" s="27"/>
      <c r="J7" s="28" t="n">
        <f aca="false">J5</f>
        <v>2900</v>
      </c>
      <c r="L7" s="23" t="s">
        <v>94</v>
      </c>
      <c r="N7" s="29" t="n">
        <f aca="false">N5/N6</f>
        <v>10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24" t="n">
        <v>1990</v>
      </c>
      <c r="O8" s="25" t="s">
        <v>98</v>
      </c>
      <c r="P8" s="26" t="s">
        <v>175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6.86206896551724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176</v>
      </c>
      <c r="E10" s="20" t="n">
        <f aca="false">E18</f>
        <v>290</v>
      </c>
      <c r="G10" s="22" t="s">
        <v>176</v>
      </c>
      <c r="J10" s="20" t="n">
        <f aca="false">E18</f>
        <v>290</v>
      </c>
      <c r="L10" s="23" t="s">
        <v>104</v>
      </c>
      <c r="N10" s="33" t="n">
        <v>0.0715</v>
      </c>
      <c r="O10" s="25" t="s">
        <v>109</v>
      </c>
      <c r="P10" s="26" t="s">
        <v>177</v>
      </c>
    </row>
    <row r="11" customFormat="false" ht="14.25" hidden="false" customHeight="false" outlineLevel="0" collapsed="false">
      <c r="B11" s="0" t="s">
        <v>106</v>
      </c>
      <c r="E11" s="32" t="n">
        <f aca="false">N9</f>
        <v>6.86206896551724</v>
      </c>
      <c r="G11" s="22" t="s">
        <v>107</v>
      </c>
      <c r="J11" s="32" t="n">
        <f aca="false">N7</f>
        <v>10</v>
      </c>
      <c r="L11" s="23" t="s">
        <v>108</v>
      </c>
      <c r="N11" s="33" t="n">
        <v>0.25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1990</v>
      </c>
      <c r="G12" s="34" t="s">
        <v>85</v>
      </c>
      <c r="H12" s="34"/>
      <c r="I12" s="34"/>
      <c r="J12" s="35" t="n">
        <f aca="false">J10*J11</f>
        <v>2900</v>
      </c>
      <c r="L12" s="23" t="s">
        <v>111</v>
      </c>
      <c r="N12" s="24" t="n">
        <v>2000</v>
      </c>
      <c r="O12" s="25" t="s">
        <v>98</v>
      </c>
      <c r="P12" s="26" t="s">
        <v>179</v>
      </c>
    </row>
    <row r="13" customFormat="false" ht="14.25" hidden="false" customHeight="false" outlineLevel="0" collapsed="false">
      <c r="L13" s="23" t="s">
        <v>113</v>
      </c>
      <c r="N13" s="36" t="n">
        <v>120</v>
      </c>
      <c r="O13" s="25" t="s">
        <v>109</v>
      </c>
      <c r="P13" s="26" t="s">
        <v>180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2018</v>
      </c>
      <c r="F14" s="39" t="n">
        <f aca="false">E14+1</f>
        <v>2019</v>
      </c>
      <c r="G14" s="39" t="n">
        <f aca="false">F14+1</f>
        <v>2020</v>
      </c>
      <c r="H14" s="39" t="n">
        <f aca="false">G14+1</f>
        <v>2021</v>
      </c>
      <c r="I14" s="39" t="n">
        <f aca="false">H14+1</f>
        <v>2022</v>
      </c>
      <c r="J14" s="39" t="n">
        <f aca="false">I14+1</f>
        <v>2023</v>
      </c>
      <c r="L14" s="23" t="s">
        <v>116</v>
      </c>
      <c r="N14" s="31" t="n">
        <f aca="false">N6/N12</f>
        <v>0.145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2000</v>
      </c>
      <c r="F15" s="20" t="n">
        <f aca="false">E15+F16</f>
        <v>2120</v>
      </c>
      <c r="G15" s="20" t="n">
        <f aca="false">F15+G16</f>
        <v>2240</v>
      </c>
      <c r="H15" s="20" t="n">
        <f aca="false">G15+H16</f>
        <v>2360</v>
      </c>
      <c r="I15" s="20" t="n">
        <f aca="false">H15+I16</f>
        <v>2480</v>
      </c>
      <c r="J15" s="20" t="n">
        <f aca="false">I15+J16</f>
        <v>2600</v>
      </c>
      <c r="L15" s="23" t="s">
        <v>118</v>
      </c>
      <c r="N15" s="36" t="n">
        <v>60</v>
      </c>
      <c r="O15" s="25" t="s">
        <v>109</v>
      </c>
      <c r="P15" s="26" t="s">
        <v>119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120</v>
      </c>
      <c r="G16" s="41" t="n">
        <f aca="false">F16</f>
        <v>120</v>
      </c>
      <c r="H16" s="41" t="n">
        <f aca="false">G16</f>
        <v>120</v>
      </c>
      <c r="I16" s="41" t="n">
        <f aca="false">H16</f>
        <v>120</v>
      </c>
      <c r="J16" s="41" t="n">
        <f aca="false">I16</f>
        <v>120</v>
      </c>
      <c r="L16" s="23" t="s">
        <v>121</v>
      </c>
      <c r="N16" s="36" t="n">
        <v>50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290</v>
      </c>
      <c r="F18" s="20" t="n">
        <f aca="false">F19*F15</f>
        <v>307.4</v>
      </c>
      <c r="G18" s="20" t="n">
        <f aca="false">G19*G15</f>
        <v>324.8</v>
      </c>
      <c r="H18" s="20" t="n">
        <f aca="false">H19*H15</f>
        <v>342.2</v>
      </c>
      <c r="I18" s="20" t="n">
        <f aca="false">I19*I15</f>
        <v>359.6</v>
      </c>
      <c r="J18" s="20" t="n">
        <f aca="false">J19*J15</f>
        <v>377</v>
      </c>
      <c r="L18" s="23" t="s">
        <v>126</v>
      </c>
      <c r="N18" s="29" t="n">
        <v>11.875</v>
      </c>
      <c r="O18" s="25" t="s">
        <v>87</v>
      </c>
      <c r="P18" s="26" t="s">
        <v>181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0.145</v>
      </c>
      <c r="F19" s="43" t="n">
        <f aca="false">E19</f>
        <v>0.145</v>
      </c>
      <c r="G19" s="43" t="n">
        <f aca="false">F19</f>
        <v>0.145</v>
      </c>
      <c r="H19" s="43" t="n">
        <f aca="false">G19</f>
        <v>0.145</v>
      </c>
      <c r="I19" s="43" t="n">
        <f aca="false">H19</f>
        <v>0.145</v>
      </c>
      <c r="J19" s="43" t="n">
        <f aca="false">I19</f>
        <v>0.145</v>
      </c>
      <c r="L19" s="23" t="s">
        <v>129</v>
      </c>
      <c r="N19" s="44" t="n">
        <v>43312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45135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45530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307.4</v>
      </c>
      <c r="G22" s="46" t="n">
        <f aca="false">G18</f>
        <v>324.8</v>
      </c>
      <c r="H22" s="46" t="n">
        <f aca="false">H18</f>
        <v>342.2</v>
      </c>
      <c r="I22" s="46" t="n">
        <f aca="false">I18</f>
        <v>359.6</v>
      </c>
      <c r="J22" s="46" t="n">
        <f aca="false">J18</f>
        <v>377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-60</v>
      </c>
      <c r="G23" s="46" t="n">
        <f aca="false">-$N$15</f>
        <v>-60</v>
      </c>
      <c r="H23" s="46" t="n">
        <f aca="false">-$N$15</f>
        <v>-60</v>
      </c>
      <c r="I23" s="46" t="n">
        <f aca="false">-$N$15</f>
        <v>-60</v>
      </c>
      <c r="J23" s="46" t="n">
        <f aca="false">-$N$15</f>
        <v>-60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247.4</v>
      </c>
      <c r="G24" s="47" t="n">
        <f aca="false">G22+G23</f>
        <v>264.8</v>
      </c>
      <c r="H24" s="47" t="n">
        <f aca="false">H22+H23</f>
        <v>282.2</v>
      </c>
      <c r="I24" s="47" t="n">
        <f aca="false">I22+I23</f>
        <v>299.6</v>
      </c>
      <c r="J24" s="47" t="n">
        <f aca="false">J22+J23</f>
        <v>317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0.0715</v>
      </c>
      <c r="E25" s="46"/>
      <c r="F25" s="46" t="n">
        <f aca="false">$E$12*-$D$25</f>
        <v>-142.285</v>
      </c>
      <c r="G25" s="46" t="n">
        <f aca="false">$E$12*-$D$25</f>
        <v>-142.285</v>
      </c>
      <c r="H25" s="46" t="n">
        <f aca="false">$E$12*-$D$25</f>
        <v>-142.285</v>
      </c>
      <c r="I25" s="46" t="n">
        <f aca="false">$E$12*-$D$25</f>
        <v>-142.285</v>
      </c>
      <c r="J25" s="46" t="n">
        <f aca="false">$E$12*-$D$25</f>
        <v>-142.285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105.115</v>
      </c>
      <c r="G26" s="47" t="n">
        <f aca="false">G24+G25</f>
        <v>122.515</v>
      </c>
      <c r="H26" s="47" t="n">
        <f aca="false">H24+H25</f>
        <v>139.915</v>
      </c>
      <c r="I26" s="47" t="n">
        <f aca="false">I24+I25</f>
        <v>157.315</v>
      </c>
      <c r="J26" s="47" t="n">
        <f aca="false">J24+J25</f>
        <v>174.715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0.25</v>
      </c>
      <c r="E27" s="46"/>
      <c r="F27" s="46" t="n">
        <f aca="false">F26*-$D27</f>
        <v>-26.27875</v>
      </c>
      <c r="G27" s="46" t="n">
        <f aca="false">G26*-$D27</f>
        <v>-30.62875</v>
      </c>
      <c r="H27" s="46" t="n">
        <f aca="false">H26*-$D27</f>
        <v>-34.97875</v>
      </c>
      <c r="I27" s="46" t="n">
        <f aca="false">I26*-$D27</f>
        <v>-39.32875</v>
      </c>
      <c r="J27" s="46" t="n">
        <f aca="false">J26*-$D27</f>
        <v>-43.67875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78.83625</v>
      </c>
      <c r="G28" s="47" t="n">
        <f aca="false">G26+G27</f>
        <v>91.88625</v>
      </c>
      <c r="H28" s="47" t="n">
        <f aca="false">H26+H27</f>
        <v>104.93625</v>
      </c>
      <c r="I28" s="47" t="n">
        <f aca="false">I26+I27</f>
        <v>117.98625</v>
      </c>
      <c r="J28" s="47" t="n">
        <f aca="false">J26+J27</f>
        <v>131.03625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60</v>
      </c>
      <c r="G29" s="46" t="n">
        <f aca="false">-G23</f>
        <v>60</v>
      </c>
      <c r="H29" s="46" t="n">
        <f aca="false">-H23</f>
        <v>60</v>
      </c>
      <c r="I29" s="46" t="n">
        <f aca="false">-I23</f>
        <v>60</v>
      </c>
      <c r="J29" s="46" t="n">
        <f aca="false">-J23</f>
        <v>60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-50</v>
      </c>
      <c r="G30" s="46" t="n">
        <f aca="false">-$N$16</f>
        <v>-50</v>
      </c>
      <c r="H30" s="46" t="n">
        <f aca="false">-$N$16</f>
        <v>-50</v>
      </c>
      <c r="I30" s="46" t="n">
        <f aca="false">-$N$16</f>
        <v>-50</v>
      </c>
      <c r="J30" s="46" t="n">
        <f aca="false">-$N$16</f>
        <v>-50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88.83625</v>
      </c>
      <c r="G32" s="47" t="n">
        <f aca="false">SUM(G28:G31)</f>
        <v>101.88625</v>
      </c>
      <c r="H32" s="47" t="n">
        <f aca="false">SUM(H28:H31)</f>
        <v>114.93625</v>
      </c>
      <c r="I32" s="47" t="n">
        <f aca="false">SUM(I28:I31)</f>
        <v>127.98625</v>
      </c>
      <c r="J32" s="47" t="n">
        <f aca="false">SUM(J28:J31)</f>
        <v>141.03625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88.83625</v>
      </c>
      <c r="G33" s="48" t="n">
        <f aca="false">SUM($E32:G32)</f>
        <v>190.7225</v>
      </c>
      <c r="H33" s="48" t="n">
        <f aca="false">SUM($E32:H32)</f>
        <v>305.65875</v>
      </c>
      <c r="I33" s="48" t="n">
        <f aca="false">SUM($E32:I32)</f>
        <v>433.645</v>
      </c>
      <c r="J33" s="48" t="n">
        <f aca="false">SUM($E32:J32)</f>
        <v>574.68125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183</v>
      </c>
      <c r="E37" s="46" t="n">
        <f aca="false">J18</f>
        <v>377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11.875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4476.875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-1990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574.68125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3061.55625</v>
      </c>
    </row>
    <row r="43" customFormat="false" ht="14.25" hidden="false" customHeight="false" outlineLevel="0" collapsed="false">
      <c r="B43" s="0" t="s">
        <v>154</v>
      </c>
      <c r="E43" s="46" t="n">
        <f aca="false">E6</f>
        <v>910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3.36434752747253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0.274957717047826</v>
      </c>
    </row>
    <row r="48" customFormat="false" ht="14.25" hidden="false" customHeight="false" outlineLevel="0" collapsed="false">
      <c r="B48" s="51" t="n">
        <f aca="false">N19</f>
        <v>43312</v>
      </c>
      <c r="E48" s="46" t="n">
        <f aca="false">-E6</f>
        <v>-910</v>
      </c>
    </row>
    <row r="49" customFormat="false" ht="14.25" hidden="false" customHeight="false" outlineLevel="0" collapsed="false">
      <c r="B49" s="51" t="n">
        <f aca="false">N20</f>
        <v>45135</v>
      </c>
      <c r="E49" s="46" t="n">
        <f aca="false">E42</f>
        <v>3061.55625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4750</v>
      </c>
    </row>
    <row r="54" customFormat="false" ht="14.25" hidden="false" customHeight="false" outlineLevel="0" collapsed="false">
      <c r="B54" s="54" t="s">
        <v>160</v>
      </c>
      <c r="E54" s="56" t="n">
        <v>2447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2303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910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2.53076923076923</v>
      </c>
    </row>
    <row r="58" customFormat="false" ht="14.25" hidden="false" customHeight="false" outlineLevel="0" collapsed="false">
      <c r="B58" s="54" t="s">
        <v>164</v>
      </c>
      <c r="E58" s="57" t="n">
        <f aca="false">IFERROR(XIRR(E62:E63,B62:B63),"n/m")</f>
        <v>0.16509225484879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-0.833578296703296</v>
      </c>
    </row>
    <row r="60" customFormat="false" ht="14.25" hidden="false" customHeight="false" outlineLevel="0" collapsed="false">
      <c r="B60" s="54" t="s">
        <v>166</v>
      </c>
      <c r="E60" s="16" t="n">
        <f aca="false">IFERROR((E58-E46)*100,"n/m")</f>
        <v>-10.9865462199036</v>
      </c>
    </row>
    <row r="62" customFormat="false" ht="14.25" hidden="false" customHeight="false" outlineLevel="0" collapsed="false">
      <c r="B62" s="51" t="n">
        <f aca="false">N19</f>
        <v>43312</v>
      </c>
      <c r="E62" s="22" t="n">
        <f aca="false">-E6</f>
        <v>-910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45530</v>
      </c>
      <c r="E63" s="16" t="n">
        <f aca="false">E55</f>
        <v>2303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185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186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187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188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1000</v>
      </c>
      <c r="F5" s="21"/>
      <c r="G5" s="22" t="s">
        <v>85</v>
      </c>
      <c r="J5" s="20" t="n">
        <f aca="false">J12</f>
        <v>1500</v>
      </c>
      <c r="L5" s="23" t="s">
        <v>86</v>
      </c>
      <c r="N5" s="24" t="n">
        <v>1500</v>
      </c>
      <c r="O5" s="25" t="s">
        <v>87</v>
      </c>
      <c r="P5" s="26" t="s">
        <v>189</v>
      </c>
    </row>
    <row r="6" customFormat="false" ht="14.25" hidden="false" customHeight="false" outlineLevel="0" collapsed="false">
      <c r="B6" s="0" t="s">
        <v>89</v>
      </c>
      <c r="E6" s="20" t="n">
        <f aca="false">E7-E5</f>
        <v>500</v>
      </c>
      <c r="L6" s="23" t="s">
        <v>90</v>
      </c>
      <c r="N6" s="36" t="n">
        <v>155</v>
      </c>
      <c r="O6" s="25" t="s">
        <v>109</v>
      </c>
      <c r="P6" s="26" t="s">
        <v>190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1500</v>
      </c>
      <c r="G7" s="27" t="s">
        <v>93</v>
      </c>
      <c r="H7" s="27"/>
      <c r="I7" s="27"/>
      <c r="J7" s="28" t="n">
        <f aca="false">J5</f>
        <v>1500</v>
      </c>
      <c r="L7" s="23" t="s">
        <v>94</v>
      </c>
      <c r="N7" s="29" t="n">
        <f aca="false">N5/N6</f>
        <v>9.67741935483871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36" t="n">
        <v>1000</v>
      </c>
      <c r="O8" s="25" t="s">
        <v>109</v>
      </c>
      <c r="P8" s="26" t="s">
        <v>191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6.45161290322581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192</v>
      </c>
      <c r="E10" s="20" t="n">
        <f aca="false">E18</f>
        <v>155</v>
      </c>
      <c r="G10" s="22" t="s">
        <v>192</v>
      </c>
      <c r="J10" s="20" t="n">
        <f aca="false">E18</f>
        <v>155</v>
      </c>
      <c r="L10" s="23" t="s">
        <v>104</v>
      </c>
      <c r="N10" s="31" t="n">
        <v>0.0713</v>
      </c>
      <c r="O10" s="25" t="s">
        <v>98</v>
      </c>
      <c r="P10" s="26" t="s">
        <v>193</v>
      </c>
    </row>
    <row r="11" customFormat="false" ht="14.25" hidden="false" customHeight="false" outlineLevel="0" collapsed="false">
      <c r="B11" s="0" t="s">
        <v>106</v>
      </c>
      <c r="E11" s="32" t="n">
        <f aca="false">N9</f>
        <v>6.45161290322581</v>
      </c>
      <c r="G11" s="22" t="s">
        <v>107</v>
      </c>
      <c r="J11" s="32" t="n">
        <f aca="false">N7</f>
        <v>9.67741935483871</v>
      </c>
      <c r="L11" s="23" t="s">
        <v>108</v>
      </c>
      <c r="N11" s="33" t="n">
        <v>0.3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1000</v>
      </c>
      <c r="G12" s="34" t="s">
        <v>85</v>
      </c>
      <c r="H12" s="34"/>
      <c r="I12" s="34"/>
      <c r="J12" s="35" t="n">
        <f aca="false">J10*J11</f>
        <v>1500</v>
      </c>
      <c r="L12" s="23" t="s">
        <v>111</v>
      </c>
      <c r="N12" s="24" t="n">
        <v>1200</v>
      </c>
      <c r="O12" s="25" t="s">
        <v>98</v>
      </c>
      <c r="P12" s="26" t="s">
        <v>194</v>
      </c>
    </row>
    <row r="13" customFormat="false" ht="14.25" hidden="false" customHeight="false" outlineLevel="0" collapsed="false">
      <c r="L13" s="23" t="s">
        <v>113</v>
      </c>
      <c r="N13" s="36" t="n">
        <v>80</v>
      </c>
      <c r="O13" s="25" t="s">
        <v>109</v>
      </c>
      <c r="P13" s="26" t="s">
        <v>195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2014</v>
      </c>
      <c r="F14" s="39" t="n">
        <f aca="false">E14+1</f>
        <v>2015</v>
      </c>
      <c r="G14" s="39" t="n">
        <f aca="false">F14+1</f>
        <v>2016</v>
      </c>
      <c r="H14" s="39" t="n">
        <f aca="false">G14+1</f>
        <v>2017</v>
      </c>
      <c r="I14" s="39" t="n">
        <f aca="false">H14+1</f>
        <v>2018</v>
      </c>
      <c r="J14" s="39" t="n">
        <f aca="false">I14+1</f>
        <v>2019</v>
      </c>
      <c r="L14" s="23" t="s">
        <v>116</v>
      </c>
      <c r="N14" s="31" t="n">
        <f aca="false">N6/N12</f>
        <v>0.129166666666667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1200</v>
      </c>
      <c r="F15" s="20" t="n">
        <f aca="false">E15+F16</f>
        <v>1280</v>
      </c>
      <c r="G15" s="20" t="n">
        <f aca="false">F15+G16</f>
        <v>1360</v>
      </c>
      <c r="H15" s="20" t="n">
        <f aca="false">G15+H16</f>
        <v>1440</v>
      </c>
      <c r="I15" s="20" t="n">
        <f aca="false">H15+I16</f>
        <v>1520</v>
      </c>
      <c r="J15" s="20" t="n">
        <f aca="false">I15+J16</f>
        <v>1600</v>
      </c>
      <c r="L15" s="23" t="s">
        <v>118</v>
      </c>
      <c r="N15" s="36" t="n">
        <v>36</v>
      </c>
      <c r="O15" s="25" t="s">
        <v>109</v>
      </c>
      <c r="P15" s="26" t="s">
        <v>119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80</v>
      </c>
      <c r="G16" s="41" t="n">
        <f aca="false">F16</f>
        <v>80</v>
      </c>
      <c r="H16" s="41" t="n">
        <f aca="false">G16</f>
        <v>80</v>
      </c>
      <c r="I16" s="41" t="n">
        <f aca="false">H16</f>
        <v>80</v>
      </c>
      <c r="J16" s="41" t="n">
        <f aca="false">I16</f>
        <v>80</v>
      </c>
      <c r="L16" s="23" t="s">
        <v>121</v>
      </c>
      <c r="N16" s="36" t="n">
        <v>30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155</v>
      </c>
      <c r="F18" s="20" t="n">
        <f aca="false">F19*F15</f>
        <v>165.333333333333</v>
      </c>
      <c r="G18" s="20" t="n">
        <f aca="false">G19*G15</f>
        <v>175.666666666667</v>
      </c>
      <c r="H18" s="20" t="n">
        <f aca="false">H19*H15</f>
        <v>186</v>
      </c>
      <c r="I18" s="20" t="n">
        <f aca="false">I19*I15</f>
        <v>196.333333333333</v>
      </c>
      <c r="J18" s="20" t="n">
        <f aca="false">J19*J15</f>
        <v>206.666666666667</v>
      </c>
      <c r="L18" s="23" t="s">
        <v>126</v>
      </c>
      <c r="N18" s="42" t="n">
        <v>10</v>
      </c>
      <c r="O18" s="25" t="s">
        <v>109</v>
      </c>
      <c r="P18" s="26" t="s">
        <v>196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0.129166666666667</v>
      </c>
      <c r="F19" s="43" t="n">
        <f aca="false">E19</f>
        <v>0.129166666666667</v>
      </c>
      <c r="G19" s="43" t="n">
        <f aca="false">F19</f>
        <v>0.129166666666667</v>
      </c>
      <c r="H19" s="43" t="n">
        <f aca="false">G19</f>
        <v>0.129166666666667</v>
      </c>
      <c r="I19" s="43" t="n">
        <f aca="false">H19</f>
        <v>0.129166666666667</v>
      </c>
      <c r="J19" s="43" t="n">
        <f aca="false">I19</f>
        <v>0.129166666666667</v>
      </c>
      <c r="L19" s="23" t="s">
        <v>129</v>
      </c>
      <c r="N19" s="44" t="n">
        <v>41988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43814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43312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165.333333333333</v>
      </c>
      <c r="G22" s="46" t="n">
        <f aca="false">G18</f>
        <v>175.666666666667</v>
      </c>
      <c r="H22" s="46" t="n">
        <f aca="false">H18</f>
        <v>186</v>
      </c>
      <c r="I22" s="46" t="n">
        <f aca="false">I18</f>
        <v>196.333333333333</v>
      </c>
      <c r="J22" s="46" t="n">
        <f aca="false">J18</f>
        <v>206.666666666667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-36</v>
      </c>
      <c r="G23" s="46" t="n">
        <f aca="false">-$N$15</f>
        <v>-36</v>
      </c>
      <c r="H23" s="46" t="n">
        <f aca="false">-$N$15</f>
        <v>-36</v>
      </c>
      <c r="I23" s="46" t="n">
        <f aca="false">-$N$15</f>
        <v>-36</v>
      </c>
      <c r="J23" s="46" t="n">
        <f aca="false">-$N$15</f>
        <v>-36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129.333333333333</v>
      </c>
      <c r="G24" s="47" t="n">
        <f aca="false">G22+G23</f>
        <v>139.666666666667</v>
      </c>
      <c r="H24" s="47" t="n">
        <f aca="false">H22+H23</f>
        <v>150</v>
      </c>
      <c r="I24" s="47" t="n">
        <f aca="false">I22+I23</f>
        <v>160.333333333333</v>
      </c>
      <c r="J24" s="47" t="n">
        <f aca="false">J22+J23</f>
        <v>170.666666666667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0.0713</v>
      </c>
      <c r="E25" s="46"/>
      <c r="F25" s="46" t="n">
        <f aca="false">$E$12*-$D$25</f>
        <v>-71.3</v>
      </c>
      <c r="G25" s="46" t="n">
        <f aca="false">$E$12*-$D$25</f>
        <v>-71.3</v>
      </c>
      <c r="H25" s="46" t="n">
        <f aca="false">$E$12*-$D$25</f>
        <v>-71.3</v>
      </c>
      <c r="I25" s="46" t="n">
        <f aca="false">$E$12*-$D$25</f>
        <v>-71.3</v>
      </c>
      <c r="J25" s="46" t="n">
        <f aca="false">$E$12*-$D$25</f>
        <v>-71.3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58.0333333333333</v>
      </c>
      <c r="G26" s="47" t="n">
        <f aca="false">G24+G25</f>
        <v>68.3666666666667</v>
      </c>
      <c r="H26" s="47" t="n">
        <f aca="false">H24+H25</f>
        <v>78.7</v>
      </c>
      <c r="I26" s="47" t="n">
        <f aca="false">I24+I25</f>
        <v>89.0333333333333</v>
      </c>
      <c r="J26" s="47" t="n">
        <f aca="false">J24+J25</f>
        <v>99.3666666666667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</v>
      </c>
      <c r="E27" s="46"/>
      <c r="F27" s="46" t="n">
        <f aca="false">F26*-$D27</f>
        <v>-17.41</v>
      </c>
      <c r="G27" s="46" t="n">
        <f aca="false">G26*-$D27</f>
        <v>-20.51</v>
      </c>
      <c r="H27" s="46" t="n">
        <f aca="false">H26*-$D27</f>
        <v>-23.61</v>
      </c>
      <c r="I27" s="46" t="n">
        <f aca="false">I26*-$D27</f>
        <v>-26.71</v>
      </c>
      <c r="J27" s="46" t="n">
        <f aca="false">J26*-$D27</f>
        <v>-29.81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40.6233333333333</v>
      </c>
      <c r="G28" s="47" t="n">
        <f aca="false">G26+G27</f>
        <v>47.8566666666667</v>
      </c>
      <c r="H28" s="47" t="n">
        <f aca="false">H26+H27</f>
        <v>55.09</v>
      </c>
      <c r="I28" s="47" t="n">
        <f aca="false">I26+I27</f>
        <v>62.3233333333333</v>
      </c>
      <c r="J28" s="47" t="n">
        <f aca="false">J26+J27</f>
        <v>69.5566666666667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36</v>
      </c>
      <c r="G29" s="46" t="n">
        <f aca="false">-G23</f>
        <v>36</v>
      </c>
      <c r="H29" s="46" t="n">
        <f aca="false">-H23</f>
        <v>36</v>
      </c>
      <c r="I29" s="46" t="n">
        <f aca="false">-I23</f>
        <v>36</v>
      </c>
      <c r="J29" s="46" t="n">
        <f aca="false">-J23</f>
        <v>36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-30</v>
      </c>
      <c r="G30" s="46" t="n">
        <f aca="false">-$N$16</f>
        <v>-30</v>
      </c>
      <c r="H30" s="46" t="n">
        <f aca="false">-$N$16</f>
        <v>-30</v>
      </c>
      <c r="I30" s="46" t="n">
        <f aca="false">-$N$16</f>
        <v>-30</v>
      </c>
      <c r="J30" s="46" t="n">
        <f aca="false">-$N$16</f>
        <v>-30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46.6233333333333</v>
      </c>
      <c r="G32" s="47" t="n">
        <f aca="false">SUM(G28:G31)</f>
        <v>53.8566666666667</v>
      </c>
      <c r="H32" s="47" t="n">
        <f aca="false">SUM(H28:H31)</f>
        <v>61.09</v>
      </c>
      <c r="I32" s="47" t="n">
        <f aca="false">SUM(I28:I31)</f>
        <v>68.3233333333333</v>
      </c>
      <c r="J32" s="47" t="n">
        <f aca="false">SUM(J28:J31)</f>
        <v>75.5566666666667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46.6233333333333</v>
      </c>
      <c r="G33" s="48" t="n">
        <f aca="false">SUM($E32:G32)</f>
        <v>100.48</v>
      </c>
      <c r="H33" s="48" t="n">
        <f aca="false">SUM($E32:H32)</f>
        <v>161.57</v>
      </c>
      <c r="I33" s="48" t="n">
        <f aca="false">SUM($E32:I32)</f>
        <v>229.893333333333</v>
      </c>
      <c r="J33" s="48" t="n">
        <f aca="false">SUM($E32:J32)</f>
        <v>305.45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197</v>
      </c>
      <c r="E37" s="46" t="n">
        <f aca="false">J18</f>
        <v>206.666666666667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10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2066.66666666667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-1000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305.45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1372.11666666667</v>
      </c>
    </row>
    <row r="43" customFormat="false" ht="14.25" hidden="false" customHeight="false" outlineLevel="0" collapsed="false">
      <c r="B43" s="0" t="s">
        <v>154</v>
      </c>
      <c r="E43" s="46" t="n">
        <f aca="false">E6</f>
        <v>500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2.74423333333333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0.223590755756816</v>
      </c>
    </row>
    <row r="48" customFormat="false" ht="14.25" hidden="false" customHeight="false" outlineLevel="0" collapsed="false">
      <c r="B48" s="51" t="n">
        <f aca="false">N19</f>
        <v>41988</v>
      </c>
      <c r="E48" s="46" t="n">
        <f aca="false">-E6</f>
        <v>-500</v>
      </c>
    </row>
    <row r="49" customFormat="false" ht="14.25" hidden="false" customHeight="false" outlineLevel="0" collapsed="false">
      <c r="B49" s="51" t="n">
        <f aca="false">N20</f>
        <v>43814</v>
      </c>
      <c r="E49" s="46" t="n">
        <f aca="false">E42</f>
        <v>1372.11666666667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2900</v>
      </c>
    </row>
    <row r="54" customFormat="false" ht="14.25" hidden="false" customHeight="false" outlineLevel="0" collapsed="false">
      <c r="B54" s="54" t="s">
        <v>160</v>
      </c>
      <c r="E54" s="56" t="n">
        <v>1000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1900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500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3.8</v>
      </c>
    </row>
    <row r="58" customFormat="false" ht="14.25" hidden="false" customHeight="false" outlineLevel="0" collapsed="false">
      <c r="B58" s="54" t="s">
        <v>164</v>
      </c>
      <c r="E58" s="57" t="n">
        <f aca="false">IFERROR(XIRR(E62:E63,B62:B63),"n/m")</f>
        <v>0.444889389272007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1.05576666666667</v>
      </c>
    </row>
    <row r="60" customFormat="false" ht="14.25" hidden="false" customHeight="false" outlineLevel="0" collapsed="false">
      <c r="B60" s="54" t="s">
        <v>166</v>
      </c>
      <c r="E60" s="16" t="n">
        <f aca="false">IFERROR((E58-E46)*100,"n/m")</f>
        <v>22.1298633515191</v>
      </c>
    </row>
    <row r="62" customFormat="false" ht="14.25" hidden="false" customHeight="false" outlineLevel="0" collapsed="false">
      <c r="B62" s="51" t="n">
        <f aca="false">N19</f>
        <v>41988</v>
      </c>
      <c r="E62" s="22" t="n">
        <f aca="false">-E6</f>
        <v>-500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43312</v>
      </c>
      <c r="E63" s="16" t="n">
        <f aca="false">E55</f>
        <v>1900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198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199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200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201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22.35" hidden="false" customHeight="false" outlineLevel="0" collapsed="false">
      <c r="B5" s="0" t="s">
        <v>26</v>
      </c>
      <c r="E5" s="20" t="n">
        <f aca="false">E12</f>
        <v>85</v>
      </c>
      <c r="F5" s="21"/>
      <c r="G5" s="22" t="s">
        <v>85</v>
      </c>
      <c r="J5" s="20" t="n">
        <f aca="false">J12</f>
        <v>144.6</v>
      </c>
      <c r="L5" s="23" t="s">
        <v>86</v>
      </c>
      <c r="N5" s="24" t="n">
        <v>144.6</v>
      </c>
      <c r="O5" s="25" t="s">
        <v>98</v>
      </c>
      <c r="P5" s="26" t="s">
        <v>202</v>
      </c>
    </row>
    <row r="6" customFormat="false" ht="14.25" hidden="false" customHeight="false" outlineLevel="0" collapsed="false">
      <c r="B6" s="0" t="s">
        <v>89</v>
      </c>
      <c r="E6" s="20" t="n">
        <f aca="false">E7-E5</f>
        <v>59.6</v>
      </c>
      <c r="L6" s="23" t="s">
        <v>90</v>
      </c>
      <c r="N6" s="24" t="n">
        <v>20.7</v>
      </c>
      <c r="O6" s="25" t="s">
        <v>98</v>
      </c>
      <c r="P6" s="26" t="s">
        <v>203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144.6</v>
      </c>
      <c r="G7" s="27" t="s">
        <v>93</v>
      </c>
      <c r="H7" s="27"/>
      <c r="I7" s="27"/>
      <c r="J7" s="28" t="n">
        <f aca="false">J5</f>
        <v>144.6</v>
      </c>
      <c r="L7" s="23" t="s">
        <v>94</v>
      </c>
      <c r="N7" s="29" t="n">
        <f aca="false">N5/N6</f>
        <v>6.98550724637681</v>
      </c>
      <c r="O7" s="25" t="s">
        <v>95</v>
      </c>
      <c r="P7" s="26" t="s">
        <v>96</v>
      </c>
    </row>
    <row r="8" customFormat="false" ht="22.35" hidden="false" customHeight="false" outlineLevel="0" collapsed="false">
      <c r="L8" s="23" t="s">
        <v>97</v>
      </c>
      <c r="N8" s="36" t="n">
        <v>85</v>
      </c>
      <c r="O8" s="25" t="s">
        <v>109</v>
      </c>
      <c r="P8" s="26" t="s">
        <v>204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4.10628019323672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205</v>
      </c>
      <c r="E10" s="20" t="n">
        <f aca="false">E18</f>
        <v>20.7</v>
      </c>
      <c r="G10" s="22" t="s">
        <v>205</v>
      </c>
      <c r="J10" s="20" t="n">
        <f aca="false">E18</f>
        <v>20.7</v>
      </c>
      <c r="L10" s="23" t="s">
        <v>104</v>
      </c>
      <c r="N10" s="33" t="n">
        <v>0.081</v>
      </c>
      <c r="O10" s="25" t="s">
        <v>109</v>
      </c>
      <c r="P10" s="26" t="s">
        <v>206</v>
      </c>
    </row>
    <row r="11" customFormat="false" ht="14.25" hidden="false" customHeight="false" outlineLevel="0" collapsed="false">
      <c r="B11" s="0" t="s">
        <v>106</v>
      </c>
      <c r="E11" s="32" t="n">
        <f aca="false">N9</f>
        <v>4.10628019323672</v>
      </c>
      <c r="G11" s="22" t="s">
        <v>107</v>
      </c>
      <c r="J11" s="32" t="n">
        <f aca="false">N7</f>
        <v>6.98550724637681</v>
      </c>
      <c r="L11" s="23" t="s">
        <v>108</v>
      </c>
      <c r="N11" s="33" t="n">
        <v>0.38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85</v>
      </c>
      <c r="G12" s="34" t="s">
        <v>85</v>
      </c>
      <c r="H12" s="34"/>
      <c r="I12" s="34"/>
      <c r="J12" s="35" t="n">
        <f aca="false">J10*J11</f>
        <v>144.6</v>
      </c>
      <c r="L12" s="23" t="s">
        <v>111</v>
      </c>
      <c r="N12" s="24" t="n">
        <v>156.4</v>
      </c>
      <c r="O12" s="25" t="s">
        <v>98</v>
      </c>
      <c r="P12" s="26" t="s">
        <v>207</v>
      </c>
    </row>
    <row r="13" customFormat="false" ht="14.25" hidden="false" customHeight="false" outlineLevel="0" collapsed="false">
      <c r="L13" s="23" t="s">
        <v>113</v>
      </c>
      <c r="N13" s="24" t="n">
        <v>14</v>
      </c>
      <c r="O13" s="25" t="s">
        <v>98</v>
      </c>
      <c r="P13" s="26" t="s">
        <v>208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2002</v>
      </c>
      <c r="F14" s="39" t="n">
        <f aca="false">E14+1</f>
        <v>2003</v>
      </c>
      <c r="G14" s="39" t="n">
        <f aca="false">F14+1</f>
        <v>2004</v>
      </c>
      <c r="H14" s="39" t="n">
        <f aca="false">G14+1</f>
        <v>2005</v>
      </c>
      <c r="I14" s="39" t="n">
        <f aca="false">H14+1</f>
        <v>2006</v>
      </c>
      <c r="J14" s="39" t="n">
        <f aca="false">I14+1</f>
        <v>2007</v>
      </c>
      <c r="L14" s="23" t="s">
        <v>116</v>
      </c>
      <c r="N14" s="31" t="n">
        <f aca="false">N6/N12</f>
        <v>0.132352941176471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156.4</v>
      </c>
      <c r="F15" s="20" t="n">
        <f aca="false">E15+F16</f>
        <v>170.4</v>
      </c>
      <c r="G15" s="20" t="n">
        <f aca="false">F15+G16</f>
        <v>184.4</v>
      </c>
      <c r="H15" s="20" t="n">
        <f aca="false">G15+H16</f>
        <v>198.4</v>
      </c>
      <c r="I15" s="20" t="n">
        <f aca="false">H15+I16</f>
        <v>212.4</v>
      </c>
      <c r="J15" s="20" t="n">
        <f aca="false">I15+J16</f>
        <v>226.4</v>
      </c>
      <c r="L15" s="23" t="s">
        <v>118</v>
      </c>
      <c r="N15" s="36" t="n">
        <v>4.5</v>
      </c>
      <c r="O15" s="25" t="s">
        <v>109</v>
      </c>
      <c r="P15" s="26" t="s">
        <v>209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14</v>
      </c>
      <c r="G16" s="41" t="n">
        <f aca="false">F16</f>
        <v>14</v>
      </c>
      <c r="H16" s="41" t="n">
        <f aca="false">G16</f>
        <v>14</v>
      </c>
      <c r="I16" s="41" t="n">
        <f aca="false">H16</f>
        <v>14</v>
      </c>
      <c r="J16" s="41" t="n">
        <f aca="false">I16</f>
        <v>14</v>
      </c>
      <c r="L16" s="23" t="s">
        <v>121</v>
      </c>
      <c r="N16" s="36" t="n">
        <v>4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-1</v>
      </c>
      <c r="O17" s="25" t="s">
        <v>109</v>
      </c>
      <c r="P17" s="26" t="s">
        <v>210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20.7</v>
      </c>
      <c r="F18" s="20" t="n">
        <f aca="false">F19*F15</f>
        <v>22.5529411764706</v>
      </c>
      <c r="G18" s="20" t="n">
        <f aca="false">G19*G15</f>
        <v>24.4058823529412</v>
      </c>
      <c r="H18" s="20" t="n">
        <f aca="false">H19*H15</f>
        <v>26.2588235294118</v>
      </c>
      <c r="I18" s="20" t="n">
        <f aca="false">I19*I15</f>
        <v>28.1117647058824</v>
      </c>
      <c r="J18" s="20" t="n">
        <f aca="false">J19*J15</f>
        <v>29.9647058823529</v>
      </c>
      <c r="L18" s="23" t="s">
        <v>126</v>
      </c>
      <c r="N18" s="42" t="n">
        <v>7</v>
      </c>
      <c r="O18" s="25" t="s">
        <v>109</v>
      </c>
      <c r="P18" s="26" t="s">
        <v>211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0.132352941176471</v>
      </c>
      <c r="F19" s="43" t="n">
        <f aca="false">E19</f>
        <v>0.132352941176471</v>
      </c>
      <c r="G19" s="43" t="n">
        <f aca="false">F19</f>
        <v>0.132352941176471</v>
      </c>
      <c r="H19" s="43" t="n">
        <f aca="false">G19</f>
        <v>0.132352941176471</v>
      </c>
      <c r="I19" s="43" t="n">
        <f aca="false">H19</f>
        <v>0.132352941176471</v>
      </c>
      <c r="J19" s="43" t="n">
        <f aca="false">I19</f>
        <v>0.132352941176471</v>
      </c>
      <c r="L19" s="23" t="s">
        <v>129</v>
      </c>
      <c r="N19" s="44" t="n">
        <v>37888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39715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s">
        <v>38</v>
      </c>
      <c r="O21" s="25" t="s">
        <v>98</v>
      </c>
      <c r="P21" s="26" t="s">
        <v>135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22.5529411764706</v>
      </c>
      <c r="G22" s="46" t="n">
        <f aca="false">G18</f>
        <v>24.4058823529412</v>
      </c>
      <c r="H22" s="46" t="n">
        <f aca="false">H18</f>
        <v>26.2588235294118</v>
      </c>
      <c r="I22" s="46" t="n">
        <f aca="false">I18</f>
        <v>28.1117647058824</v>
      </c>
      <c r="J22" s="46" t="n">
        <f aca="false">J18</f>
        <v>29.9647058823529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-4.5</v>
      </c>
      <c r="G23" s="46" t="n">
        <f aca="false">-$N$15</f>
        <v>-4.5</v>
      </c>
      <c r="H23" s="46" t="n">
        <f aca="false">-$N$15</f>
        <v>-4.5</v>
      </c>
      <c r="I23" s="46" t="n">
        <f aca="false">-$N$15</f>
        <v>-4.5</v>
      </c>
      <c r="J23" s="46" t="n">
        <f aca="false">-$N$15</f>
        <v>-4.5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18.0529411764706</v>
      </c>
      <c r="G24" s="47" t="n">
        <f aca="false">G22+G23</f>
        <v>19.9058823529412</v>
      </c>
      <c r="H24" s="47" t="n">
        <f aca="false">H22+H23</f>
        <v>21.7588235294118</v>
      </c>
      <c r="I24" s="47" t="n">
        <f aca="false">I22+I23</f>
        <v>23.6117647058824</v>
      </c>
      <c r="J24" s="47" t="n">
        <f aca="false">J22+J23</f>
        <v>25.4647058823529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0.081</v>
      </c>
      <c r="E25" s="46"/>
      <c r="F25" s="46" t="n">
        <f aca="false">$E$12*-$D$25</f>
        <v>-6.885</v>
      </c>
      <c r="G25" s="46" t="n">
        <f aca="false">$E$12*-$D$25</f>
        <v>-6.885</v>
      </c>
      <c r="H25" s="46" t="n">
        <f aca="false">$E$12*-$D$25</f>
        <v>-6.885</v>
      </c>
      <c r="I25" s="46" t="n">
        <f aca="false">$E$12*-$D$25</f>
        <v>-6.885</v>
      </c>
      <c r="J25" s="46" t="n">
        <f aca="false">$E$12*-$D$25</f>
        <v>-6.885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11.1679411764706</v>
      </c>
      <c r="G26" s="47" t="n">
        <f aca="false">G24+G25</f>
        <v>13.0208823529412</v>
      </c>
      <c r="H26" s="47" t="n">
        <f aca="false">H24+H25</f>
        <v>14.8738235294118</v>
      </c>
      <c r="I26" s="47" t="n">
        <f aca="false">I24+I25</f>
        <v>16.7267647058824</v>
      </c>
      <c r="J26" s="47" t="n">
        <f aca="false">J24+J25</f>
        <v>18.5797058823529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0.38</v>
      </c>
      <c r="E27" s="46"/>
      <c r="F27" s="46" t="n">
        <f aca="false">F26*-$D27</f>
        <v>-4.24381764705882</v>
      </c>
      <c r="G27" s="46" t="n">
        <f aca="false">G26*-$D27</f>
        <v>-4.94793529411765</v>
      </c>
      <c r="H27" s="46" t="n">
        <f aca="false">H26*-$D27</f>
        <v>-5.65205294117647</v>
      </c>
      <c r="I27" s="46" t="n">
        <f aca="false">I26*-$D27</f>
        <v>-6.35617058823529</v>
      </c>
      <c r="J27" s="46" t="n">
        <f aca="false">J26*-$D27</f>
        <v>-7.06028823529412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6.92412352941177</v>
      </c>
      <c r="G28" s="47" t="n">
        <f aca="false">G26+G27</f>
        <v>8.07294705882353</v>
      </c>
      <c r="H28" s="47" t="n">
        <f aca="false">H26+H27</f>
        <v>9.22177058823529</v>
      </c>
      <c r="I28" s="47" t="n">
        <f aca="false">I26+I27</f>
        <v>10.3705941176471</v>
      </c>
      <c r="J28" s="47" t="n">
        <f aca="false">J26+J27</f>
        <v>11.5194176470588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4.5</v>
      </c>
      <c r="G29" s="46" t="n">
        <f aca="false">-G23</f>
        <v>4.5</v>
      </c>
      <c r="H29" s="46" t="n">
        <f aca="false">-H23</f>
        <v>4.5</v>
      </c>
      <c r="I29" s="46" t="n">
        <f aca="false">-I23</f>
        <v>4.5</v>
      </c>
      <c r="J29" s="46" t="n">
        <f aca="false">-J23</f>
        <v>4.5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-4</v>
      </c>
      <c r="G30" s="46" t="n">
        <f aca="false">-$N$16</f>
        <v>-4</v>
      </c>
      <c r="H30" s="46" t="n">
        <f aca="false">-$N$16</f>
        <v>-4</v>
      </c>
      <c r="I30" s="46" t="n">
        <f aca="false">-$N$16</f>
        <v>-4</v>
      </c>
      <c r="J30" s="46" t="n">
        <f aca="false">-$N$16</f>
        <v>-4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-1</v>
      </c>
      <c r="G31" s="46" t="n">
        <f aca="false">$N$17</f>
        <v>-1</v>
      </c>
      <c r="H31" s="46" t="n">
        <f aca="false">$N$17</f>
        <v>-1</v>
      </c>
      <c r="I31" s="46" t="n">
        <f aca="false">$N$17</f>
        <v>-1</v>
      </c>
      <c r="J31" s="46" t="n">
        <f aca="false">$N$17</f>
        <v>-1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6.42412352941177</v>
      </c>
      <c r="G32" s="47" t="n">
        <f aca="false">SUM(G28:G31)</f>
        <v>7.57294705882353</v>
      </c>
      <c r="H32" s="47" t="n">
        <f aca="false">SUM(H28:H31)</f>
        <v>8.72177058823529</v>
      </c>
      <c r="I32" s="47" t="n">
        <f aca="false">SUM(I28:I31)</f>
        <v>9.87059411764706</v>
      </c>
      <c r="J32" s="47" t="n">
        <f aca="false">SUM(J28:J31)</f>
        <v>11.0194176470588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6.42412352941177</v>
      </c>
      <c r="G33" s="48" t="n">
        <f aca="false">SUM($E32:G32)</f>
        <v>13.9970705882353</v>
      </c>
      <c r="H33" s="48" t="n">
        <f aca="false">SUM($E32:H32)</f>
        <v>22.7188411764706</v>
      </c>
      <c r="I33" s="48" t="n">
        <f aca="false">SUM($E32:I32)</f>
        <v>32.5894352941177</v>
      </c>
      <c r="J33" s="48" t="n">
        <f aca="false">SUM($E32:J32)</f>
        <v>43.6088529411765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212</v>
      </c>
      <c r="E37" s="46" t="n">
        <f aca="false">J18</f>
        <v>29.9647058823529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7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209.752941176471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-85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43.6088529411765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168.361794117647</v>
      </c>
    </row>
    <row r="43" customFormat="false" ht="14.25" hidden="false" customHeight="false" outlineLevel="0" collapsed="false">
      <c r="B43" s="0" t="s">
        <v>154</v>
      </c>
      <c r="E43" s="46" t="n">
        <f aca="false">E6</f>
        <v>59.6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2.82486231741019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0.230554113613293</v>
      </c>
    </row>
    <row r="48" customFormat="false" ht="14.25" hidden="false" customHeight="false" outlineLevel="0" collapsed="false">
      <c r="B48" s="51" t="n">
        <f aca="false">N19</f>
        <v>37888</v>
      </c>
      <c r="E48" s="46" t="n">
        <f aca="false">-E6</f>
        <v>-59.6</v>
      </c>
    </row>
    <row r="49" customFormat="false" ht="14.25" hidden="false" customHeight="false" outlineLevel="0" collapsed="false">
      <c r="B49" s="51" t="n">
        <f aca="false">N20</f>
        <v>39715</v>
      </c>
      <c r="E49" s="46" t="n">
        <f aca="false">E42</f>
        <v>168.361794117647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6" t="s">
        <v>213</v>
      </c>
    </row>
    <row r="54" customFormat="false" ht="14.25" hidden="false" customHeight="false" outlineLevel="0" collapsed="false">
      <c r="B54" s="54" t="s">
        <v>160</v>
      </c>
    </row>
    <row r="55" customFormat="false" ht="14.25" hidden="false" customHeight="false" outlineLevel="0" collapsed="false">
      <c r="B55" s="54" t="s">
        <v>161</v>
      </c>
    </row>
    <row r="56" customFormat="false" ht="14.25" hidden="false" customHeight="false" outlineLevel="0" collapsed="false">
      <c r="B56" s="54" t="s">
        <v>162</v>
      </c>
    </row>
    <row r="57" customFormat="false" ht="14.25" hidden="false" customHeight="false" outlineLevel="0" collapsed="false">
      <c r="B57" s="54" t="s">
        <v>163</v>
      </c>
    </row>
    <row r="58" customFormat="false" ht="14.25" hidden="false" customHeight="false" outlineLevel="0" collapsed="false">
      <c r="B58" s="54" t="s">
        <v>164</v>
      </c>
    </row>
    <row r="59" customFormat="false" ht="14.25" hidden="false" customHeight="false" outlineLevel="0" collapsed="false">
      <c r="B59" s="54" t="s">
        <v>165</v>
      </c>
    </row>
    <row r="60" customFormat="false" ht="14.25" hidden="false" customHeight="false" outlineLevel="0" collapsed="false">
      <c r="B60" s="54" t="s">
        <v>166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214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215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216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217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101.1</v>
      </c>
      <c r="F5" s="21"/>
      <c r="G5" s="22" t="s">
        <v>85</v>
      </c>
      <c r="J5" s="20" t="n">
        <f aca="false">J12</f>
        <v>180.2</v>
      </c>
      <c r="L5" s="23" t="s">
        <v>86</v>
      </c>
      <c r="N5" s="24" t="n">
        <v>180.2</v>
      </c>
      <c r="O5" s="25" t="s">
        <v>98</v>
      </c>
      <c r="P5" s="26" t="s">
        <v>218</v>
      </c>
    </row>
    <row r="6" customFormat="false" ht="14.25" hidden="false" customHeight="false" outlineLevel="0" collapsed="false">
      <c r="B6" s="0" t="s">
        <v>89</v>
      </c>
      <c r="E6" s="20" t="n">
        <f aca="false">E7-E5</f>
        <v>79.1</v>
      </c>
      <c r="L6" s="23" t="s">
        <v>90</v>
      </c>
      <c r="N6" s="24" t="n">
        <v>25.8</v>
      </c>
      <c r="O6" s="25" t="s">
        <v>98</v>
      </c>
      <c r="P6" s="26" t="s">
        <v>219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180.2</v>
      </c>
      <c r="G7" s="27" t="s">
        <v>93</v>
      </c>
      <c r="H7" s="27"/>
      <c r="I7" s="27"/>
      <c r="J7" s="28" t="n">
        <f aca="false">J5</f>
        <v>180.2</v>
      </c>
      <c r="L7" s="23" t="s">
        <v>94</v>
      </c>
      <c r="N7" s="29" t="n">
        <f aca="false">N5/N6</f>
        <v>6.98449612403101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24" t="n">
        <v>101.1</v>
      </c>
      <c r="O8" s="25" t="s">
        <v>98</v>
      </c>
      <c r="P8" s="26" t="s">
        <v>220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3.91860465116279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221</v>
      </c>
      <c r="E10" s="20" t="n">
        <f aca="false">E18</f>
        <v>25.8</v>
      </c>
      <c r="G10" s="22" t="s">
        <v>221</v>
      </c>
      <c r="J10" s="20" t="n">
        <f aca="false">E18</f>
        <v>25.8</v>
      </c>
      <c r="L10" s="23" t="s">
        <v>104</v>
      </c>
      <c r="N10" s="33" t="n">
        <v>0.076</v>
      </c>
      <c r="O10" s="25" t="s">
        <v>109</v>
      </c>
      <c r="P10" s="26" t="s">
        <v>222</v>
      </c>
    </row>
    <row r="11" customFormat="false" ht="14.25" hidden="false" customHeight="false" outlineLevel="0" collapsed="false">
      <c r="B11" s="0" t="s">
        <v>106</v>
      </c>
      <c r="E11" s="32" t="n">
        <f aca="false">N9</f>
        <v>3.91860465116279</v>
      </c>
      <c r="G11" s="22" t="s">
        <v>107</v>
      </c>
      <c r="J11" s="32" t="n">
        <f aca="false">N7</f>
        <v>6.98449612403101</v>
      </c>
      <c r="L11" s="23" t="s">
        <v>108</v>
      </c>
      <c r="N11" s="33" t="n">
        <v>0.38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101.1</v>
      </c>
      <c r="G12" s="34" t="s">
        <v>85</v>
      </c>
      <c r="H12" s="34"/>
      <c r="I12" s="34"/>
      <c r="J12" s="35" t="n">
        <f aca="false">J10*J11</f>
        <v>180.2</v>
      </c>
      <c r="L12" s="23" t="s">
        <v>111</v>
      </c>
      <c r="N12" s="24" t="n">
        <v>262</v>
      </c>
      <c r="O12" s="25" t="s">
        <v>98</v>
      </c>
      <c r="P12" s="26" t="s">
        <v>223</v>
      </c>
    </row>
    <row r="13" customFormat="false" ht="14.25" hidden="false" customHeight="false" outlineLevel="0" collapsed="false">
      <c r="L13" s="23" t="s">
        <v>113</v>
      </c>
      <c r="N13" s="36" t="n">
        <v>15</v>
      </c>
      <c r="O13" s="25" t="s">
        <v>109</v>
      </c>
      <c r="P13" s="26" t="s">
        <v>224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2010</v>
      </c>
      <c r="F14" s="39" t="n">
        <f aca="false">E14+1</f>
        <v>2011</v>
      </c>
      <c r="G14" s="39" t="n">
        <f aca="false">F14+1</f>
        <v>2012</v>
      </c>
      <c r="H14" s="39" t="n">
        <f aca="false">G14+1</f>
        <v>2013</v>
      </c>
      <c r="I14" s="39" t="n">
        <f aca="false">H14+1</f>
        <v>2014</v>
      </c>
      <c r="J14" s="39" t="n">
        <f aca="false">I14+1</f>
        <v>2015</v>
      </c>
      <c r="L14" s="23" t="s">
        <v>116</v>
      </c>
      <c r="N14" s="31" t="n">
        <f aca="false">N6/N12</f>
        <v>0.0984732824427481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262</v>
      </c>
      <c r="F15" s="20" t="n">
        <f aca="false">E15+F16</f>
        <v>277</v>
      </c>
      <c r="G15" s="20" t="n">
        <f aca="false">F15+G16</f>
        <v>292</v>
      </c>
      <c r="H15" s="20" t="n">
        <f aca="false">G15+H16</f>
        <v>307</v>
      </c>
      <c r="I15" s="20" t="n">
        <f aca="false">H15+I16</f>
        <v>322</v>
      </c>
      <c r="J15" s="20" t="n">
        <f aca="false">I15+J16</f>
        <v>337</v>
      </c>
      <c r="L15" s="23" t="s">
        <v>118</v>
      </c>
      <c r="N15" s="36" t="n">
        <v>5</v>
      </c>
      <c r="O15" s="25" t="s">
        <v>109</v>
      </c>
      <c r="P15" s="26" t="s">
        <v>178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15</v>
      </c>
      <c r="G16" s="41" t="n">
        <f aca="false">F16</f>
        <v>15</v>
      </c>
      <c r="H16" s="41" t="n">
        <f aca="false">G16</f>
        <v>15</v>
      </c>
      <c r="I16" s="41" t="n">
        <f aca="false">H16</f>
        <v>15</v>
      </c>
      <c r="J16" s="41" t="n">
        <f aca="false">I16</f>
        <v>15</v>
      </c>
      <c r="L16" s="23" t="s">
        <v>121</v>
      </c>
      <c r="N16" s="36" t="n">
        <v>4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-1</v>
      </c>
      <c r="O17" s="25" t="s">
        <v>109</v>
      </c>
      <c r="P17" s="26" t="s">
        <v>178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25.8</v>
      </c>
      <c r="F18" s="20" t="n">
        <f aca="false">F19*F15</f>
        <v>27.2770992366412</v>
      </c>
      <c r="G18" s="20" t="n">
        <f aca="false">G19*G15</f>
        <v>28.7541984732824</v>
      </c>
      <c r="H18" s="20" t="n">
        <f aca="false">H19*H15</f>
        <v>30.2312977099237</v>
      </c>
      <c r="I18" s="20" t="n">
        <f aca="false">I19*I15</f>
        <v>31.7083969465649</v>
      </c>
      <c r="J18" s="20" t="n">
        <f aca="false">J19*J15</f>
        <v>33.1854961832061</v>
      </c>
      <c r="L18" s="23" t="s">
        <v>126</v>
      </c>
      <c r="N18" s="42" t="n">
        <v>7</v>
      </c>
      <c r="O18" s="25" t="s">
        <v>109</v>
      </c>
      <c r="P18" s="26" t="s">
        <v>225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0.0984732824427481</v>
      </c>
      <c r="F19" s="43" t="n">
        <f aca="false">E19</f>
        <v>0.0984732824427481</v>
      </c>
      <c r="G19" s="43" t="n">
        <f aca="false">F19</f>
        <v>0.0984732824427481</v>
      </c>
      <c r="H19" s="43" t="n">
        <f aca="false">G19</f>
        <v>0.0984732824427481</v>
      </c>
      <c r="I19" s="43" t="n">
        <f aca="false">H19</f>
        <v>0.0984732824427481</v>
      </c>
      <c r="J19" s="43" t="n">
        <f aca="false">I19</f>
        <v>0.0984732824427481</v>
      </c>
      <c r="L19" s="23" t="s">
        <v>129</v>
      </c>
      <c r="N19" s="44" t="n">
        <v>40395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42221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s">
        <v>38</v>
      </c>
      <c r="O21" s="25" t="s">
        <v>98</v>
      </c>
      <c r="P21" s="26" t="s">
        <v>135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27.2770992366412</v>
      </c>
      <c r="G22" s="46" t="n">
        <f aca="false">G18</f>
        <v>28.7541984732824</v>
      </c>
      <c r="H22" s="46" t="n">
        <f aca="false">H18</f>
        <v>30.2312977099237</v>
      </c>
      <c r="I22" s="46" t="n">
        <f aca="false">I18</f>
        <v>31.7083969465649</v>
      </c>
      <c r="J22" s="46" t="n">
        <f aca="false">J18</f>
        <v>33.1854961832061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-5</v>
      </c>
      <c r="G23" s="46" t="n">
        <f aca="false">-$N$15</f>
        <v>-5</v>
      </c>
      <c r="H23" s="46" t="n">
        <f aca="false">-$N$15</f>
        <v>-5</v>
      </c>
      <c r="I23" s="46" t="n">
        <f aca="false">-$N$15</f>
        <v>-5</v>
      </c>
      <c r="J23" s="46" t="n">
        <f aca="false">-$N$15</f>
        <v>-5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22.2770992366412</v>
      </c>
      <c r="G24" s="47" t="n">
        <f aca="false">G22+G23</f>
        <v>23.7541984732824</v>
      </c>
      <c r="H24" s="47" t="n">
        <f aca="false">H22+H23</f>
        <v>25.2312977099237</v>
      </c>
      <c r="I24" s="47" t="n">
        <f aca="false">I22+I23</f>
        <v>26.7083969465649</v>
      </c>
      <c r="J24" s="47" t="n">
        <f aca="false">J22+J23</f>
        <v>28.1854961832061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0.076</v>
      </c>
      <c r="E25" s="46"/>
      <c r="F25" s="46" t="n">
        <f aca="false">$E$12*-$D$25</f>
        <v>-7.6836</v>
      </c>
      <c r="G25" s="46" t="n">
        <f aca="false">$E$12*-$D$25</f>
        <v>-7.6836</v>
      </c>
      <c r="H25" s="46" t="n">
        <f aca="false">$E$12*-$D$25</f>
        <v>-7.6836</v>
      </c>
      <c r="I25" s="46" t="n">
        <f aca="false">$E$12*-$D$25</f>
        <v>-7.6836</v>
      </c>
      <c r="J25" s="46" t="n">
        <f aca="false">$E$12*-$D$25</f>
        <v>-7.6836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14.5934992366412</v>
      </c>
      <c r="G26" s="47" t="n">
        <f aca="false">G24+G25</f>
        <v>16.0705984732824</v>
      </c>
      <c r="H26" s="47" t="n">
        <f aca="false">H24+H25</f>
        <v>17.5476977099237</v>
      </c>
      <c r="I26" s="47" t="n">
        <f aca="false">I24+I25</f>
        <v>19.0247969465649</v>
      </c>
      <c r="J26" s="47" t="n">
        <f aca="false">J24+J25</f>
        <v>20.5018961832061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0.38</v>
      </c>
      <c r="E27" s="46"/>
      <c r="F27" s="46" t="n">
        <f aca="false">F26*-$D27</f>
        <v>-5.54552970992367</v>
      </c>
      <c r="G27" s="46" t="n">
        <f aca="false">G26*-$D27</f>
        <v>-6.10682741984733</v>
      </c>
      <c r="H27" s="46" t="n">
        <f aca="false">H26*-$D27</f>
        <v>-6.66812512977099</v>
      </c>
      <c r="I27" s="46" t="n">
        <f aca="false">I26*-$D27</f>
        <v>-7.22942283969466</v>
      </c>
      <c r="J27" s="46" t="n">
        <f aca="false">J26*-$D27</f>
        <v>-7.79072054961832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9.04796952671756</v>
      </c>
      <c r="G28" s="47" t="n">
        <f aca="false">G26+G27</f>
        <v>9.96377105343512</v>
      </c>
      <c r="H28" s="47" t="n">
        <f aca="false">H26+H27</f>
        <v>10.8795725801527</v>
      </c>
      <c r="I28" s="47" t="n">
        <f aca="false">I26+I27</f>
        <v>11.7953741068702</v>
      </c>
      <c r="J28" s="47" t="n">
        <f aca="false">J26+J27</f>
        <v>12.7111756335878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5</v>
      </c>
      <c r="G29" s="46" t="n">
        <f aca="false">-G23</f>
        <v>5</v>
      </c>
      <c r="H29" s="46" t="n">
        <f aca="false">-H23</f>
        <v>5</v>
      </c>
      <c r="I29" s="46" t="n">
        <f aca="false">-I23</f>
        <v>5</v>
      </c>
      <c r="J29" s="46" t="n">
        <f aca="false">-J23</f>
        <v>5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-4</v>
      </c>
      <c r="G30" s="46" t="n">
        <f aca="false">-$N$16</f>
        <v>-4</v>
      </c>
      <c r="H30" s="46" t="n">
        <f aca="false">-$N$16</f>
        <v>-4</v>
      </c>
      <c r="I30" s="46" t="n">
        <f aca="false">-$N$16</f>
        <v>-4</v>
      </c>
      <c r="J30" s="46" t="n">
        <f aca="false">-$N$16</f>
        <v>-4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-1</v>
      </c>
      <c r="G31" s="46" t="n">
        <f aca="false">$N$17</f>
        <v>-1</v>
      </c>
      <c r="H31" s="46" t="n">
        <f aca="false">$N$17</f>
        <v>-1</v>
      </c>
      <c r="I31" s="46" t="n">
        <f aca="false">$N$17</f>
        <v>-1</v>
      </c>
      <c r="J31" s="46" t="n">
        <f aca="false">$N$17</f>
        <v>-1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9.04796952671756</v>
      </c>
      <c r="G32" s="47" t="n">
        <f aca="false">SUM(G28:G31)</f>
        <v>9.96377105343512</v>
      </c>
      <c r="H32" s="47" t="n">
        <f aca="false">SUM(H28:H31)</f>
        <v>10.8795725801527</v>
      </c>
      <c r="I32" s="47" t="n">
        <f aca="false">SUM(I28:I31)</f>
        <v>11.7953741068702</v>
      </c>
      <c r="J32" s="47" t="n">
        <f aca="false">SUM(J28:J31)</f>
        <v>12.7111756335878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9.04796952671756</v>
      </c>
      <c r="G33" s="48" t="n">
        <f aca="false">SUM($E32:G32)</f>
        <v>19.0117405801527</v>
      </c>
      <c r="H33" s="48" t="n">
        <f aca="false">SUM($E32:H32)</f>
        <v>29.8913131603054</v>
      </c>
      <c r="I33" s="48" t="n">
        <f aca="false">SUM($E32:I32)</f>
        <v>41.6866872671756</v>
      </c>
      <c r="J33" s="48" t="n">
        <f aca="false">SUM($E32:J32)</f>
        <v>54.3978629007634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226</v>
      </c>
      <c r="E37" s="46" t="n">
        <f aca="false">J18</f>
        <v>33.1854961832061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7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232.298473282443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-101.1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54.3978629007634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185.596336183206</v>
      </c>
    </row>
    <row r="43" customFormat="false" ht="14.25" hidden="false" customHeight="false" outlineLevel="0" collapsed="false">
      <c r="B43" s="0" t="s">
        <v>154</v>
      </c>
      <c r="E43" s="46" t="n">
        <f aca="false">E6</f>
        <v>79.1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2.34635064706961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0.185872544305611</v>
      </c>
    </row>
    <row r="48" customFormat="false" ht="14.25" hidden="false" customHeight="false" outlineLevel="0" collapsed="false">
      <c r="B48" s="51" t="n">
        <f aca="false">N19</f>
        <v>40395</v>
      </c>
      <c r="E48" s="46" t="n">
        <f aca="false">-E6</f>
        <v>-79.1</v>
      </c>
    </row>
    <row r="49" customFormat="false" ht="14.25" hidden="false" customHeight="false" outlineLevel="0" collapsed="false">
      <c r="B49" s="51" t="n">
        <f aca="false">N20</f>
        <v>42221</v>
      </c>
      <c r="E49" s="46" t="n">
        <f aca="false">E42</f>
        <v>185.596336183206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6" t="s">
        <v>213</v>
      </c>
    </row>
    <row r="54" customFormat="false" ht="14.25" hidden="false" customHeight="false" outlineLevel="0" collapsed="false">
      <c r="B54" s="54" t="s">
        <v>160</v>
      </c>
    </row>
    <row r="55" customFormat="false" ht="14.25" hidden="false" customHeight="false" outlineLevel="0" collapsed="false">
      <c r="B55" s="54" t="s">
        <v>161</v>
      </c>
    </row>
    <row r="56" customFormat="false" ht="14.25" hidden="false" customHeight="false" outlineLevel="0" collapsed="false">
      <c r="B56" s="54" t="s">
        <v>162</v>
      </c>
    </row>
    <row r="57" customFormat="false" ht="14.25" hidden="false" customHeight="false" outlineLevel="0" collapsed="false">
      <c r="B57" s="54" t="s">
        <v>163</v>
      </c>
    </row>
    <row r="58" customFormat="false" ht="14.25" hidden="false" customHeight="false" outlineLevel="0" collapsed="false">
      <c r="B58" s="54" t="s">
        <v>164</v>
      </c>
    </row>
    <row r="59" customFormat="false" ht="14.25" hidden="false" customHeight="false" outlineLevel="0" collapsed="false">
      <c r="B59" s="54" t="s">
        <v>165</v>
      </c>
    </row>
    <row r="60" customFormat="false" ht="14.25" hidden="false" customHeight="false" outlineLevel="0" collapsed="false">
      <c r="B60" s="54" t="s">
        <v>166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214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227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228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229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22.35" hidden="false" customHeight="false" outlineLevel="0" collapsed="false">
      <c r="B5" s="0" t="s">
        <v>26</v>
      </c>
      <c r="E5" s="20" t="n">
        <f aca="false">E12</f>
        <v>12000</v>
      </c>
      <c r="F5" s="21"/>
      <c r="G5" s="22" t="s">
        <v>85</v>
      </c>
      <c r="J5" s="20" t="n">
        <f aca="false">J12</f>
        <v>17400</v>
      </c>
      <c r="L5" s="23" t="s">
        <v>86</v>
      </c>
      <c r="N5" s="24" t="n">
        <v>17400</v>
      </c>
      <c r="O5" s="25" t="s">
        <v>98</v>
      </c>
      <c r="P5" s="26" t="s">
        <v>230</v>
      </c>
    </row>
    <row r="6" customFormat="false" ht="22.35" hidden="false" customHeight="false" outlineLevel="0" collapsed="false">
      <c r="B6" s="0" t="s">
        <v>89</v>
      </c>
      <c r="E6" s="20" t="n">
        <f aca="false">E7-E5</f>
        <v>5400</v>
      </c>
      <c r="L6" s="23" t="s">
        <v>90</v>
      </c>
      <c r="N6" s="36" t="n">
        <v>1500</v>
      </c>
      <c r="O6" s="25" t="s">
        <v>109</v>
      </c>
      <c r="P6" s="26" t="s">
        <v>231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17400</v>
      </c>
      <c r="G7" s="27" t="s">
        <v>93</v>
      </c>
      <c r="H7" s="27"/>
      <c r="I7" s="27"/>
      <c r="J7" s="28" t="n">
        <f aca="false">J5</f>
        <v>17400</v>
      </c>
      <c r="L7" s="23" t="s">
        <v>94</v>
      </c>
      <c r="N7" s="29" t="n">
        <f aca="false">N5/N6</f>
        <v>11.6</v>
      </c>
      <c r="O7" s="25" t="s">
        <v>95</v>
      </c>
      <c r="P7" s="26" t="s">
        <v>96</v>
      </c>
    </row>
    <row r="8" customFormat="false" ht="22.35" hidden="false" customHeight="false" outlineLevel="0" collapsed="false">
      <c r="L8" s="23" t="s">
        <v>97</v>
      </c>
      <c r="N8" s="24" t="n">
        <v>12000</v>
      </c>
      <c r="O8" s="25" t="s">
        <v>98</v>
      </c>
      <c r="P8" s="26" t="s">
        <v>232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8</v>
      </c>
      <c r="O9" s="25" t="s">
        <v>95</v>
      </c>
      <c r="P9" s="26" t="s">
        <v>96</v>
      </c>
    </row>
    <row r="10" customFormat="false" ht="22.35" hidden="false" customHeight="false" outlineLevel="0" collapsed="false">
      <c r="B10" s="0" t="s">
        <v>233</v>
      </c>
      <c r="E10" s="20" t="n">
        <f aca="false">E18</f>
        <v>1500</v>
      </c>
      <c r="G10" s="22" t="s">
        <v>233</v>
      </c>
      <c r="J10" s="20" t="n">
        <f aca="false">E18</f>
        <v>1500</v>
      </c>
      <c r="L10" s="23" t="s">
        <v>104</v>
      </c>
      <c r="N10" s="33" t="n">
        <v>0.091</v>
      </c>
      <c r="O10" s="25" t="s">
        <v>109</v>
      </c>
      <c r="P10" s="26" t="s">
        <v>234</v>
      </c>
    </row>
    <row r="11" customFormat="false" ht="14.25" hidden="false" customHeight="false" outlineLevel="0" collapsed="false">
      <c r="B11" s="0" t="s">
        <v>106</v>
      </c>
      <c r="E11" s="32" t="n">
        <f aca="false">N9</f>
        <v>8</v>
      </c>
      <c r="G11" s="22" t="s">
        <v>107</v>
      </c>
      <c r="J11" s="32" t="n">
        <f aca="false">N7</f>
        <v>11.6</v>
      </c>
      <c r="L11" s="23" t="s">
        <v>108</v>
      </c>
      <c r="N11" s="33" t="n">
        <v>0.35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12000</v>
      </c>
      <c r="G12" s="34" t="s">
        <v>85</v>
      </c>
      <c r="H12" s="34"/>
      <c r="I12" s="34"/>
      <c r="J12" s="35" t="n">
        <f aca="false">J10*J11</f>
        <v>17400</v>
      </c>
      <c r="L12" s="23" t="s">
        <v>111</v>
      </c>
      <c r="N12" s="24" t="n">
        <v>59000</v>
      </c>
      <c r="O12" s="25" t="s">
        <v>98</v>
      </c>
      <c r="P12" s="26" t="s">
        <v>235</v>
      </c>
    </row>
    <row r="13" customFormat="false" ht="14.25" hidden="false" customHeight="false" outlineLevel="0" collapsed="false">
      <c r="L13" s="23" t="s">
        <v>113</v>
      </c>
      <c r="N13" s="36" t="n">
        <v>0</v>
      </c>
      <c r="O13" s="25" t="s">
        <v>109</v>
      </c>
      <c r="P13" s="26" t="s">
        <v>236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2006</v>
      </c>
      <c r="F14" s="39" t="n">
        <f aca="false">E14+1</f>
        <v>2007</v>
      </c>
      <c r="G14" s="39" t="n">
        <f aca="false">F14+1</f>
        <v>2008</v>
      </c>
      <c r="H14" s="39" t="n">
        <f aca="false">G14+1</f>
        <v>2009</v>
      </c>
      <c r="I14" s="39" t="n">
        <f aca="false">H14+1</f>
        <v>2010</v>
      </c>
      <c r="J14" s="39" t="n">
        <f aca="false">I14+1</f>
        <v>2011</v>
      </c>
      <c r="L14" s="23" t="s">
        <v>116</v>
      </c>
      <c r="N14" s="31" t="n">
        <f aca="false">N6/N12</f>
        <v>0.0254237288135593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59000</v>
      </c>
      <c r="F15" s="20" t="n">
        <f aca="false">E15+F16</f>
        <v>59000</v>
      </c>
      <c r="G15" s="20" t="n">
        <f aca="false">F15+G16</f>
        <v>59000</v>
      </c>
      <c r="H15" s="20" t="n">
        <f aca="false">G15+H16</f>
        <v>59000</v>
      </c>
      <c r="I15" s="20" t="n">
        <f aca="false">H15+I16</f>
        <v>59000</v>
      </c>
      <c r="J15" s="20" t="n">
        <f aca="false">I15+J16</f>
        <v>59000</v>
      </c>
      <c r="L15" s="23" t="s">
        <v>118</v>
      </c>
      <c r="N15" s="36" t="n">
        <v>2800</v>
      </c>
      <c r="O15" s="25" t="s">
        <v>109</v>
      </c>
      <c r="P15" s="26" t="s">
        <v>237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0</v>
      </c>
      <c r="G16" s="41" t="n">
        <f aca="false">F16</f>
        <v>0</v>
      </c>
      <c r="H16" s="41" t="n">
        <f aca="false">G16</f>
        <v>0</v>
      </c>
      <c r="I16" s="41" t="n">
        <f aca="false">H16</f>
        <v>0</v>
      </c>
      <c r="J16" s="41" t="n">
        <f aca="false">I16</f>
        <v>0</v>
      </c>
      <c r="L16" s="23" t="s">
        <v>121</v>
      </c>
      <c r="N16" s="24" t="n">
        <v>2000</v>
      </c>
      <c r="O16" s="25" t="s">
        <v>98</v>
      </c>
      <c r="P16" s="26" t="s">
        <v>238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1500</v>
      </c>
      <c r="F18" s="20" t="n">
        <f aca="false">F19*F15</f>
        <v>2065</v>
      </c>
      <c r="G18" s="20" t="n">
        <f aca="false">G19*G15</f>
        <v>2655</v>
      </c>
      <c r="H18" s="20" t="n">
        <f aca="false">H19*H15</f>
        <v>3245</v>
      </c>
      <c r="I18" s="20" t="n">
        <f aca="false">I19*I15</f>
        <v>3540</v>
      </c>
      <c r="J18" s="20" t="n">
        <f aca="false">J19*J15</f>
        <v>3540</v>
      </c>
      <c r="L18" s="23" t="s">
        <v>126</v>
      </c>
      <c r="N18" s="42" t="n">
        <v>6</v>
      </c>
      <c r="O18" s="25" t="s">
        <v>109</v>
      </c>
      <c r="P18" s="26" t="s">
        <v>239</v>
      </c>
    </row>
    <row r="19" customFormat="false" ht="14.25" hidden="false" customHeight="false" outlineLevel="0" collapsed="false">
      <c r="B19" s="40" t="s">
        <v>128</v>
      </c>
      <c r="E19" s="58" t="n">
        <f aca="false">N14</f>
        <v>0.0254237288135593</v>
      </c>
      <c r="F19" s="59" t="n">
        <v>0.035</v>
      </c>
      <c r="G19" s="59" t="n">
        <v>0.045</v>
      </c>
      <c r="H19" s="59" t="n">
        <v>0.055</v>
      </c>
      <c r="I19" s="59" t="n">
        <v>0.06</v>
      </c>
      <c r="J19" s="59" t="n">
        <v>0.06</v>
      </c>
      <c r="L19" s="23" t="s">
        <v>129</v>
      </c>
      <c r="N19" s="44" t="n">
        <v>39297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41124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39933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2065</v>
      </c>
      <c r="G22" s="46" t="n">
        <f aca="false">G18</f>
        <v>2655</v>
      </c>
      <c r="H22" s="46" t="n">
        <f aca="false">H18</f>
        <v>3245</v>
      </c>
      <c r="I22" s="46" t="n">
        <f aca="false">I18</f>
        <v>3540</v>
      </c>
      <c r="J22" s="46" t="n">
        <f aca="false">J18</f>
        <v>3540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-2800</v>
      </c>
      <c r="G23" s="46" t="n">
        <f aca="false">-$N$15</f>
        <v>-2800</v>
      </c>
      <c r="H23" s="46" t="n">
        <f aca="false">-$N$15</f>
        <v>-2800</v>
      </c>
      <c r="I23" s="46" t="n">
        <f aca="false">-$N$15</f>
        <v>-2800</v>
      </c>
      <c r="J23" s="46" t="n">
        <f aca="false">-$N$15</f>
        <v>-2800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-735</v>
      </c>
      <c r="G24" s="47" t="n">
        <f aca="false">G22+G23</f>
        <v>-145</v>
      </c>
      <c r="H24" s="47" t="n">
        <f aca="false">H22+H23</f>
        <v>445</v>
      </c>
      <c r="I24" s="47" t="n">
        <f aca="false">I22+I23</f>
        <v>740</v>
      </c>
      <c r="J24" s="47" t="n">
        <f aca="false">J22+J23</f>
        <v>740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0.091</v>
      </c>
      <c r="E25" s="46"/>
      <c r="F25" s="46" t="n">
        <f aca="false">$E$12*-$D$25</f>
        <v>-1092</v>
      </c>
      <c r="G25" s="46" t="n">
        <f aca="false">$E$12*-$D$25</f>
        <v>-1092</v>
      </c>
      <c r="H25" s="46" t="n">
        <f aca="false">$E$12*-$D$25</f>
        <v>-1092</v>
      </c>
      <c r="I25" s="46" t="n">
        <f aca="false">$E$12*-$D$25</f>
        <v>-1092</v>
      </c>
      <c r="J25" s="46" t="n">
        <f aca="false">$E$12*-$D$25</f>
        <v>-1092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-1827</v>
      </c>
      <c r="G26" s="47" t="n">
        <f aca="false">G24+G25</f>
        <v>-1237</v>
      </c>
      <c r="H26" s="47" t="n">
        <f aca="false">H24+H25</f>
        <v>-647</v>
      </c>
      <c r="I26" s="47" t="n">
        <f aca="false">I24+I25</f>
        <v>-352</v>
      </c>
      <c r="J26" s="47" t="n">
        <f aca="false">J24+J25</f>
        <v>-352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0.35</v>
      </c>
      <c r="E27" s="46"/>
      <c r="F27" s="46" t="n">
        <f aca="false">F26*-$D27</f>
        <v>639.45</v>
      </c>
      <c r="G27" s="46" t="n">
        <f aca="false">G26*-$D27</f>
        <v>432.95</v>
      </c>
      <c r="H27" s="46" t="n">
        <f aca="false">H26*-$D27</f>
        <v>226.45</v>
      </c>
      <c r="I27" s="46" t="n">
        <f aca="false">I26*-$D27</f>
        <v>123.2</v>
      </c>
      <c r="J27" s="46" t="n">
        <f aca="false">J26*-$D27</f>
        <v>123.2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-1187.55</v>
      </c>
      <c r="G28" s="47" t="n">
        <f aca="false">G26+G27</f>
        <v>-804.05</v>
      </c>
      <c r="H28" s="47" t="n">
        <f aca="false">H26+H27</f>
        <v>-420.55</v>
      </c>
      <c r="I28" s="47" t="n">
        <f aca="false">I26+I27</f>
        <v>-228.8</v>
      </c>
      <c r="J28" s="47" t="n">
        <f aca="false">J26+J27</f>
        <v>-228.8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2800</v>
      </c>
      <c r="G29" s="46" t="n">
        <f aca="false">-G23</f>
        <v>2800</v>
      </c>
      <c r="H29" s="46" t="n">
        <f aca="false">-H23</f>
        <v>2800</v>
      </c>
      <c r="I29" s="46" t="n">
        <f aca="false">-I23</f>
        <v>2800</v>
      </c>
      <c r="J29" s="46" t="n">
        <f aca="false">-J23</f>
        <v>2800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-2000</v>
      </c>
      <c r="G30" s="46" t="n">
        <f aca="false">-$N$16</f>
        <v>-2000</v>
      </c>
      <c r="H30" s="46" t="n">
        <f aca="false">-$N$16</f>
        <v>-2000</v>
      </c>
      <c r="I30" s="46" t="n">
        <f aca="false">-$N$16</f>
        <v>-2000</v>
      </c>
      <c r="J30" s="46" t="n">
        <f aca="false">-$N$16</f>
        <v>-2000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-387.55</v>
      </c>
      <c r="G32" s="47" t="n">
        <f aca="false">SUM(G28:G31)</f>
        <v>-4.04999999999995</v>
      </c>
      <c r="H32" s="47" t="n">
        <f aca="false">SUM(H28:H31)</f>
        <v>379.45</v>
      </c>
      <c r="I32" s="47" t="n">
        <f aca="false">SUM(I28:I31)</f>
        <v>571.2</v>
      </c>
      <c r="J32" s="47" t="n">
        <f aca="false">SUM(J28:J31)</f>
        <v>571.2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-387.55</v>
      </c>
      <c r="G33" s="48" t="n">
        <f aca="false">SUM($E32:G32)</f>
        <v>-391.6</v>
      </c>
      <c r="H33" s="48" t="n">
        <f aca="false">SUM($E32:H32)</f>
        <v>-12.1500000000003</v>
      </c>
      <c r="I33" s="48" t="n">
        <f aca="false">SUM($E32:I32)</f>
        <v>559.05</v>
      </c>
      <c r="J33" s="48" t="n">
        <f aca="false">SUM($E32:J32)</f>
        <v>1130.25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240</v>
      </c>
      <c r="E37" s="46" t="n">
        <f aca="false">J18</f>
        <v>3540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6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21240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-12000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1130.25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10370.25</v>
      </c>
    </row>
    <row r="43" customFormat="false" ht="14.25" hidden="false" customHeight="false" outlineLevel="0" collapsed="false">
      <c r="B43" s="0" t="s">
        <v>154</v>
      </c>
      <c r="E43" s="46" t="n">
        <f aca="false">E6</f>
        <v>5400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1.92041666666667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0.139244779670162</v>
      </c>
    </row>
    <row r="48" customFormat="false" ht="14.25" hidden="false" customHeight="false" outlineLevel="0" collapsed="false">
      <c r="B48" s="51" t="n">
        <f aca="false">N19</f>
        <v>39297</v>
      </c>
      <c r="E48" s="46" t="n">
        <f aca="false">-E6</f>
        <v>-5400</v>
      </c>
    </row>
    <row r="49" customFormat="false" ht="14.25" hidden="false" customHeight="false" outlineLevel="0" collapsed="false">
      <c r="B49" s="51" t="n">
        <f aca="false">N20</f>
        <v>41124</v>
      </c>
      <c r="E49" s="46" t="n">
        <f aca="false">E42</f>
        <v>10370.25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2000</v>
      </c>
    </row>
    <row r="54" customFormat="false" ht="14.25" hidden="false" customHeight="false" outlineLevel="0" collapsed="false">
      <c r="B54" s="54" t="s">
        <v>160</v>
      </c>
      <c r="E54" s="56" t="n">
        <v>6900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-4900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5400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-0.907407407407407</v>
      </c>
    </row>
    <row r="58" customFormat="false" ht="14.25" hidden="false" customHeight="false" outlineLevel="0" collapsed="false">
      <c r="B58" s="54" t="s">
        <v>164</v>
      </c>
      <c r="E58" s="57" t="str">
        <f aca="false">IFERROR(XIRR(E62:E63,B62:B63),"n/m")</f>
        <v>n/m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-2.82782407407407</v>
      </c>
    </row>
    <row r="60" customFormat="false" ht="14.25" hidden="false" customHeight="false" outlineLevel="0" collapsed="false">
      <c r="B60" s="54" t="s">
        <v>166</v>
      </c>
      <c r="E60" s="16" t="str">
        <f aca="false">IFERROR((E58-E46)*100,"n/m")</f>
        <v>n/m</v>
      </c>
    </row>
    <row r="62" customFormat="false" ht="14.25" hidden="false" customHeight="false" outlineLevel="0" collapsed="false">
      <c r="B62" s="51" t="n">
        <f aca="false">N19</f>
        <v>39297</v>
      </c>
      <c r="E62" s="22" t="n">
        <f aca="false">-E6</f>
        <v>-5400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39933</v>
      </c>
      <c r="E63" s="16" t="n">
        <f aca="false">E55</f>
        <v>-4900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241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242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243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244</v>
      </c>
      <c r="C2" s="17"/>
      <c r="D2" s="17"/>
      <c r="E2" s="17"/>
      <c r="F2" s="17"/>
      <c r="G2" s="17"/>
      <c r="H2" s="17"/>
      <c r="I2" s="17"/>
      <c r="J2" s="17"/>
    </row>
    <row r="3" customFormat="false" ht="30" hidden="false" customHeight="true" outlineLevel="0" collapsed="false">
      <c r="B3" s="60" t="s">
        <v>245</v>
      </c>
      <c r="C3" s="60"/>
      <c r="D3" s="60"/>
      <c r="E3" s="60"/>
      <c r="F3" s="60"/>
      <c r="G3" s="60"/>
      <c r="H3" s="60"/>
      <c r="I3" s="60"/>
      <c r="J3" s="60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4500</v>
      </c>
      <c r="F5" s="21"/>
      <c r="G5" s="22" t="s">
        <v>85</v>
      </c>
      <c r="J5" s="20" t="n">
        <f aca="false">J12</f>
        <v>8800</v>
      </c>
      <c r="L5" s="23" t="s">
        <v>86</v>
      </c>
      <c r="N5" s="24" t="n">
        <v>8800</v>
      </c>
      <c r="O5" s="25" t="s">
        <v>98</v>
      </c>
      <c r="P5" s="26" t="s">
        <v>246</v>
      </c>
    </row>
    <row r="6" customFormat="false" ht="14.25" hidden="false" customHeight="false" outlineLevel="0" collapsed="false">
      <c r="B6" s="0" t="s">
        <v>89</v>
      </c>
      <c r="E6" s="20" t="n">
        <f aca="false">E7-E5</f>
        <v>4300</v>
      </c>
      <c r="L6" s="23" t="s">
        <v>90</v>
      </c>
      <c r="N6" s="24" t="n">
        <v>637.3</v>
      </c>
      <c r="O6" s="25" t="s">
        <v>98</v>
      </c>
      <c r="P6" s="26" t="s">
        <v>247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8800</v>
      </c>
      <c r="G7" s="27" t="s">
        <v>93</v>
      </c>
      <c r="H7" s="27"/>
      <c r="I7" s="27"/>
      <c r="J7" s="28" t="n">
        <f aca="false">J5</f>
        <v>8800</v>
      </c>
      <c r="L7" s="23" t="s">
        <v>94</v>
      </c>
      <c r="N7" s="29" t="n">
        <f aca="false">N5/N6</f>
        <v>13.8082535697474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24" t="n">
        <v>4500</v>
      </c>
      <c r="O8" s="25" t="s">
        <v>98</v>
      </c>
      <c r="P8" s="26" t="s">
        <v>248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7.06103875725718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221</v>
      </c>
      <c r="E10" s="20" t="n">
        <f aca="false">E18</f>
        <v>637.3</v>
      </c>
      <c r="G10" s="22" t="s">
        <v>221</v>
      </c>
      <c r="J10" s="20" t="n">
        <f aca="false">E18</f>
        <v>637.3</v>
      </c>
      <c r="L10" s="23" t="s">
        <v>104</v>
      </c>
      <c r="N10" s="31" t="n">
        <v>0.0287</v>
      </c>
      <c r="O10" s="25" t="s">
        <v>98</v>
      </c>
      <c r="P10" s="26" t="s">
        <v>249</v>
      </c>
    </row>
    <row r="11" customFormat="false" ht="14.25" hidden="false" customHeight="false" outlineLevel="0" collapsed="false">
      <c r="B11" s="0" t="s">
        <v>106</v>
      </c>
      <c r="E11" s="32" t="n">
        <f aca="false">N9</f>
        <v>7.06103875725718</v>
      </c>
      <c r="G11" s="22" t="s">
        <v>107</v>
      </c>
      <c r="J11" s="32" t="n">
        <f aca="false">N7</f>
        <v>13.8082535697474</v>
      </c>
      <c r="L11" s="23" t="s">
        <v>108</v>
      </c>
      <c r="N11" s="33" t="n">
        <v>0.3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4500</v>
      </c>
      <c r="G12" s="34" t="s">
        <v>85</v>
      </c>
      <c r="H12" s="34"/>
      <c r="I12" s="34"/>
      <c r="J12" s="35" t="n">
        <f aca="false">J10*J11</f>
        <v>8800</v>
      </c>
      <c r="L12" s="23" t="s">
        <v>111</v>
      </c>
      <c r="N12" s="24" t="n">
        <v>3650</v>
      </c>
      <c r="O12" s="25" t="s">
        <v>98</v>
      </c>
      <c r="P12" s="26" t="s">
        <v>250</v>
      </c>
    </row>
    <row r="13" customFormat="false" ht="14.25" hidden="false" customHeight="false" outlineLevel="0" collapsed="false">
      <c r="L13" s="23" t="s">
        <v>113</v>
      </c>
      <c r="N13" s="36" t="n">
        <v>365</v>
      </c>
      <c r="O13" s="25" t="s">
        <v>109</v>
      </c>
      <c r="P13" s="26" t="s">
        <v>251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2010</v>
      </c>
      <c r="F14" s="39" t="n">
        <f aca="false">E14+1</f>
        <v>2011</v>
      </c>
      <c r="G14" s="39" t="n">
        <f aca="false">F14+1</f>
        <v>2012</v>
      </c>
      <c r="H14" s="39" t="n">
        <f aca="false">G14+1</f>
        <v>2013</v>
      </c>
      <c r="I14" s="39" t="n">
        <f aca="false">H14+1</f>
        <v>2014</v>
      </c>
      <c r="J14" s="39" t="n">
        <f aca="false">I14+1</f>
        <v>2015</v>
      </c>
      <c r="L14" s="23" t="s">
        <v>116</v>
      </c>
      <c r="N14" s="31" t="n">
        <f aca="false">N6/N12</f>
        <v>0.174602739726027</v>
      </c>
      <c r="O14" s="25" t="s">
        <v>95</v>
      </c>
      <c r="P14" s="26" t="s">
        <v>96</v>
      </c>
    </row>
    <row r="15" customFormat="false" ht="22.35" hidden="false" customHeight="false" outlineLevel="0" collapsed="false">
      <c r="B15" s="0" t="s">
        <v>117</v>
      </c>
      <c r="E15" s="20" t="n">
        <f aca="false">N12</f>
        <v>3650</v>
      </c>
      <c r="F15" s="20" t="n">
        <f aca="false">E15+F16</f>
        <v>4015</v>
      </c>
      <c r="G15" s="20" t="n">
        <f aca="false">F15+G16</f>
        <v>4380</v>
      </c>
      <c r="H15" s="20" t="n">
        <f aca="false">G15+H16</f>
        <v>4745</v>
      </c>
      <c r="I15" s="20" t="n">
        <f aca="false">H15+I16</f>
        <v>5110</v>
      </c>
      <c r="J15" s="20" t="n">
        <f aca="false">I15+J16</f>
        <v>5475</v>
      </c>
      <c r="L15" s="23" t="s">
        <v>118</v>
      </c>
      <c r="N15" s="24" t="n">
        <v>100.6</v>
      </c>
      <c r="O15" s="25" t="s">
        <v>98</v>
      </c>
      <c r="P15" s="26" t="s">
        <v>252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365</v>
      </c>
      <c r="G16" s="41" t="n">
        <f aca="false">F16</f>
        <v>365</v>
      </c>
      <c r="H16" s="41" t="n">
        <f aca="false">G16</f>
        <v>365</v>
      </c>
      <c r="I16" s="41" t="n">
        <f aca="false">H16</f>
        <v>365</v>
      </c>
      <c r="J16" s="41" t="n">
        <f aca="false">I16</f>
        <v>365</v>
      </c>
      <c r="L16" s="23" t="s">
        <v>121</v>
      </c>
      <c r="N16" s="24" t="n">
        <v>100</v>
      </c>
      <c r="O16" s="25" t="s">
        <v>98</v>
      </c>
      <c r="P16" s="26" t="s">
        <v>253</v>
      </c>
    </row>
    <row r="17" customFormat="false" ht="14.25" hidden="false" customHeight="false" outlineLevel="0" collapsed="false">
      <c r="L17" s="23" t="s">
        <v>123</v>
      </c>
      <c r="N17" s="36" t="n">
        <v>-50</v>
      </c>
      <c r="O17" s="25" t="s">
        <v>109</v>
      </c>
      <c r="P17" s="26" t="s">
        <v>254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637.3</v>
      </c>
      <c r="F18" s="20" t="n">
        <f aca="false">F19*F15</f>
        <v>762.85</v>
      </c>
      <c r="G18" s="20" t="n">
        <f aca="false">G19*G15</f>
        <v>919.8</v>
      </c>
      <c r="H18" s="20" t="n">
        <f aca="false">H19*H15</f>
        <v>1091.35</v>
      </c>
      <c r="I18" s="20" t="n">
        <f aca="false">I19*I15</f>
        <v>1277.5</v>
      </c>
      <c r="J18" s="20" t="n">
        <f aca="false">J19*J15</f>
        <v>1423.5</v>
      </c>
      <c r="L18" s="23" t="s">
        <v>126</v>
      </c>
      <c r="N18" s="42" t="n">
        <v>10</v>
      </c>
      <c r="O18" s="25" t="s">
        <v>109</v>
      </c>
      <c r="P18" s="26" t="s">
        <v>255</v>
      </c>
    </row>
    <row r="19" customFormat="false" ht="14.25" hidden="false" customHeight="false" outlineLevel="0" collapsed="false">
      <c r="B19" s="40" t="s">
        <v>128</v>
      </c>
      <c r="E19" s="58" t="n">
        <f aca="false">N14</f>
        <v>0.174602739726027</v>
      </c>
      <c r="F19" s="59" t="n">
        <v>0.19</v>
      </c>
      <c r="G19" s="59" t="n">
        <v>0.21</v>
      </c>
      <c r="H19" s="59" t="n">
        <v>0.23</v>
      </c>
      <c r="I19" s="59" t="n">
        <v>0.25</v>
      </c>
      <c r="J19" s="59" t="n">
        <v>0.26</v>
      </c>
      <c r="L19" s="23" t="s">
        <v>129</v>
      </c>
      <c r="N19" s="44" t="n">
        <v>40732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42559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s">
        <v>38</v>
      </c>
      <c r="O21" s="25" t="s">
        <v>98</v>
      </c>
      <c r="P21" s="26" t="s">
        <v>135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762.85</v>
      </c>
      <c r="G22" s="46" t="n">
        <f aca="false">G18</f>
        <v>919.8</v>
      </c>
      <c r="H22" s="46" t="n">
        <f aca="false">H18</f>
        <v>1091.35</v>
      </c>
      <c r="I22" s="46" t="n">
        <f aca="false">I18</f>
        <v>1277.5</v>
      </c>
      <c r="J22" s="46" t="n">
        <f aca="false">J18</f>
        <v>1423.5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-100.6</v>
      </c>
      <c r="G23" s="46" t="n">
        <f aca="false">-$N$15</f>
        <v>-100.6</v>
      </c>
      <c r="H23" s="46" t="n">
        <f aca="false">-$N$15</f>
        <v>-100.6</v>
      </c>
      <c r="I23" s="46" t="n">
        <f aca="false">-$N$15</f>
        <v>-100.6</v>
      </c>
      <c r="J23" s="46" t="n">
        <f aca="false">-$N$15</f>
        <v>-100.6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662.25</v>
      </c>
      <c r="G24" s="47" t="n">
        <f aca="false">G22+G23</f>
        <v>819.2</v>
      </c>
      <c r="H24" s="47" t="n">
        <f aca="false">H22+H23</f>
        <v>990.75</v>
      </c>
      <c r="I24" s="47" t="n">
        <f aca="false">I22+I23</f>
        <v>1176.9</v>
      </c>
      <c r="J24" s="47" t="n">
        <f aca="false">J22+J23</f>
        <v>1322.9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0.0287</v>
      </c>
      <c r="E25" s="46"/>
      <c r="F25" s="46" t="n">
        <f aca="false">$E$12*-$D$25</f>
        <v>-129.15</v>
      </c>
      <c r="G25" s="46" t="n">
        <f aca="false">$E$12*-$D$25</f>
        <v>-129.15</v>
      </c>
      <c r="H25" s="46" t="n">
        <f aca="false">$E$12*-$D$25</f>
        <v>-129.15</v>
      </c>
      <c r="I25" s="46" t="n">
        <f aca="false">$E$12*-$D$25</f>
        <v>-129.15</v>
      </c>
      <c r="J25" s="46" t="n">
        <f aca="false">$E$12*-$D$25</f>
        <v>-129.15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533.1</v>
      </c>
      <c r="G26" s="47" t="n">
        <f aca="false">G24+G25</f>
        <v>690.05</v>
      </c>
      <c r="H26" s="47" t="n">
        <f aca="false">H24+H25</f>
        <v>861.6</v>
      </c>
      <c r="I26" s="47" t="n">
        <f aca="false">I24+I25</f>
        <v>1047.75</v>
      </c>
      <c r="J26" s="47" t="n">
        <f aca="false">J24+J25</f>
        <v>1193.75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</v>
      </c>
      <c r="E27" s="46"/>
      <c r="F27" s="46" t="n">
        <f aca="false">F26*-$D27</f>
        <v>-159.93</v>
      </c>
      <c r="G27" s="46" t="n">
        <f aca="false">G26*-$D27</f>
        <v>-207.015</v>
      </c>
      <c r="H27" s="46" t="n">
        <f aca="false">H26*-$D27</f>
        <v>-258.48</v>
      </c>
      <c r="I27" s="46" t="n">
        <f aca="false">I26*-$D27</f>
        <v>-314.325</v>
      </c>
      <c r="J27" s="46" t="n">
        <f aca="false">J26*-$D27</f>
        <v>-358.125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373.17</v>
      </c>
      <c r="G28" s="47" t="n">
        <f aca="false">G26+G27</f>
        <v>483.035</v>
      </c>
      <c r="H28" s="47" t="n">
        <f aca="false">H26+H27</f>
        <v>603.12</v>
      </c>
      <c r="I28" s="47" t="n">
        <f aca="false">I26+I27</f>
        <v>733.425</v>
      </c>
      <c r="J28" s="47" t="n">
        <f aca="false">J26+J27</f>
        <v>835.625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100.6</v>
      </c>
      <c r="G29" s="46" t="n">
        <f aca="false">-G23</f>
        <v>100.6</v>
      </c>
      <c r="H29" s="46" t="n">
        <f aca="false">-H23</f>
        <v>100.6</v>
      </c>
      <c r="I29" s="46" t="n">
        <f aca="false">-I23</f>
        <v>100.6</v>
      </c>
      <c r="J29" s="46" t="n">
        <f aca="false">-J23</f>
        <v>100.6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-100</v>
      </c>
      <c r="G30" s="46" t="n">
        <f aca="false">-$N$16</f>
        <v>-100</v>
      </c>
      <c r="H30" s="46" t="n">
        <f aca="false">-$N$16</f>
        <v>-100</v>
      </c>
      <c r="I30" s="46" t="n">
        <f aca="false">-$N$16</f>
        <v>-100</v>
      </c>
      <c r="J30" s="46" t="n">
        <f aca="false">-$N$16</f>
        <v>-100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-50</v>
      </c>
      <c r="G31" s="46" t="n">
        <f aca="false">$N$17</f>
        <v>-50</v>
      </c>
      <c r="H31" s="46" t="n">
        <f aca="false">$N$17</f>
        <v>-50</v>
      </c>
      <c r="I31" s="46" t="n">
        <f aca="false">$N$17</f>
        <v>-50</v>
      </c>
      <c r="J31" s="46" t="n">
        <f aca="false">$N$17</f>
        <v>-50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323.77</v>
      </c>
      <c r="G32" s="47" t="n">
        <f aca="false">SUM(G28:G31)</f>
        <v>433.635</v>
      </c>
      <c r="H32" s="47" t="n">
        <f aca="false">SUM(H28:H31)</f>
        <v>553.72</v>
      </c>
      <c r="I32" s="47" t="n">
        <f aca="false">SUM(I28:I31)</f>
        <v>684.025</v>
      </c>
      <c r="J32" s="47" t="n">
        <f aca="false">SUM(J28:J31)</f>
        <v>786.225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323.77</v>
      </c>
      <c r="G33" s="48" t="n">
        <f aca="false">SUM($E32:G32)</f>
        <v>757.405</v>
      </c>
      <c r="H33" s="48" t="n">
        <f aca="false">SUM($E32:H32)</f>
        <v>1311.125</v>
      </c>
      <c r="I33" s="48" t="n">
        <f aca="false">SUM($E32:I32)</f>
        <v>1995.15</v>
      </c>
      <c r="J33" s="48" t="n">
        <f aca="false">SUM($E32:J32)</f>
        <v>2781.375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226</v>
      </c>
      <c r="E37" s="46" t="n">
        <f aca="false">J18</f>
        <v>1423.5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10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14235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-4500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2781.375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12516.375</v>
      </c>
    </row>
    <row r="43" customFormat="false" ht="14.25" hidden="false" customHeight="false" outlineLevel="0" collapsed="false">
      <c r="B43" s="0" t="s">
        <v>154</v>
      </c>
      <c r="E43" s="46" t="n">
        <f aca="false">E6</f>
        <v>4300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2.91078488372093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0.237942384939141</v>
      </c>
    </row>
    <row r="48" customFormat="false" ht="14.25" hidden="false" customHeight="false" outlineLevel="0" collapsed="false">
      <c r="B48" s="51" t="n">
        <f aca="false">N19</f>
        <v>40732</v>
      </c>
      <c r="E48" s="46" t="n">
        <f aca="false">-E6</f>
        <v>-4300</v>
      </c>
    </row>
    <row r="49" customFormat="false" ht="14.25" hidden="false" customHeight="false" outlineLevel="0" collapsed="false">
      <c r="B49" s="51" t="n">
        <f aca="false">N20</f>
        <v>42559</v>
      </c>
      <c r="E49" s="46" t="n">
        <f aca="false">E42</f>
        <v>12516.375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6" t="s">
        <v>213</v>
      </c>
    </row>
    <row r="54" customFormat="false" ht="14.25" hidden="false" customHeight="false" outlineLevel="0" collapsed="false">
      <c r="B54" s="54" t="s">
        <v>160</v>
      </c>
    </row>
    <row r="55" customFormat="false" ht="14.25" hidden="false" customHeight="false" outlineLevel="0" collapsed="false">
      <c r="B55" s="54" t="s">
        <v>161</v>
      </c>
    </row>
    <row r="56" customFormat="false" ht="14.25" hidden="false" customHeight="false" outlineLevel="0" collapsed="false">
      <c r="B56" s="54" t="s">
        <v>162</v>
      </c>
    </row>
    <row r="57" customFormat="false" ht="14.25" hidden="false" customHeight="false" outlineLevel="0" collapsed="false">
      <c r="B57" s="54" t="s">
        <v>163</v>
      </c>
    </row>
    <row r="58" customFormat="false" ht="14.25" hidden="false" customHeight="false" outlineLevel="0" collapsed="false">
      <c r="B58" s="54" t="s">
        <v>164</v>
      </c>
    </row>
    <row r="59" customFormat="false" ht="14.25" hidden="false" customHeight="false" outlineLevel="0" collapsed="false">
      <c r="B59" s="54" t="s">
        <v>165</v>
      </c>
    </row>
    <row r="60" customFormat="false" ht="14.25" hidden="false" customHeight="false" outlineLevel="0" collapsed="false">
      <c r="B60" s="54" t="s">
        <v>166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256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257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258</v>
      </c>
    </row>
  </sheetData>
  <mergeCells count="6">
    <mergeCell ref="B2:J2"/>
    <mergeCell ref="B3:J3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259</v>
      </c>
      <c r="C2" s="17"/>
      <c r="D2" s="17"/>
      <c r="E2" s="17"/>
      <c r="F2" s="17"/>
      <c r="G2" s="17"/>
      <c r="H2" s="17"/>
      <c r="I2" s="17"/>
      <c r="J2" s="17"/>
    </row>
    <row r="3" customFormat="false" ht="30" hidden="false" customHeight="true" outlineLevel="0" collapsed="false">
      <c r="B3" s="60" t="s">
        <v>245</v>
      </c>
      <c r="C3" s="60"/>
      <c r="D3" s="60"/>
      <c r="E3" s="60"/>
      <c r="F3" s="60"/>
      <c r="G3" s="60"/>
      <c r="H3" s="60"/>
      <c r="I3" s="60"/>
      <c r="J3" s="60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2930</v>
      </c>
      <c r="F5" s="21"/>
      <c r="G5" s="22" t="s">
        <v>85</v>
      </c>
      <c r="J5" s="20" t="n">
        <f aca="false">J12</f>
        <v>3625</v>
      </c>
      <c r="L5" s="23" t="s">
        <v>86</v>
      </c>
      <c r="N5" s="24" t="n">
        <v>3625</v>
      </c>
      <c r="O5" s="25" t="s">
        <v>98</v>
      </c>
      <c r="P5" s="26" t="s">
        <v>260</v>
      </c>
    </row>
    <row r="6" customFormat="false" ht="14.25" hidden="false" customHeight="false" outlineLevel="0" collapsed="false">
      <c r="B6" s="0" t="s">
        <v>89</v>
      </c>
      <c r="E6" s="20" t="n">
        <f aca="false">E7-E5</f>
        <v>695</v>
      </c>
      <c r="L6" s="23" t="s">
        <v>90</v>
      </c>
      <c r="N6" s="24" t="n">
        <v>457</v>
      </c>
      <c r="O6" s="25" t="s">
        <v>98</v>
      </c>
      <c r="P6" s="26" t="s">
        <v>261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3625</v>
      </c>
      <c r="G7" s="27" t="s">
        <v>93</v>
      </c>
      <c r="H7" s="27"/>
      <c r="I7" s="27"/>
      <c r="J7" s="28" t="n">
        <f aca="false">J5</f>
        <v>3625</v>
      </c>
      <c r="L7" s="23" t="s">
        <v>94</v>
      </c>
      <c r="N7" s="29" t="n">
        <f aca="false">N5/N6</f>
        <v>7.93216630196937</v>
      </c>
      <c r="O7" s="25" t="s">
        <v>95</v>
      </c>
      <c r="P7" s="26" t="s">
        <v>96</v>
      </c>
    </row>
    <row r="8" customFormat="false" ht="22.35" hidden="false" customHeight="false" outlineLevel="0" collapsed="false">
      <c r="L8" s="23" t="s">
        <v>97</v>
      </c>
      <c r="N8" s="24" t="n">
        <v>2930</v>
      </c>
      <c r="O8" s="25" t="s">
        <v>98</v>
      </c>
      <c r="P8" s="26" t="s">
        <v>262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6.41137855579869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263</v>
      </c>
      <c r="E10" s="20" t="n">
        <f aca="false">E18</f>
        <v>457</v>
      </c>
      <c r="G10" s="22" t="s">
        <v>263</v>
      </c>
      <c r="J10" s="20" t="n">
        <f aca="false">E18</f>
        <v>457</v>
      </c>
      <c r="L10" s="23" t="s">
        <v>104</v>
      </c>
      <c r="N10" s="31" t="n">
        <v>0.02944</v>
      </c>
      <c r="O10" s="25" t="s">
        <v>98</v>
      </c>
      <c r="P10" s="26" t="s">
        <v>264</v>
      </c>
    </row>
    <row r="11" customFormat="false" ht="14.25" hidden="false" customHeight="false" outlineLevel="0" collapsed="false">
      <c r="B11" s="0" t="s">
        <v>106</v>
      </c>
      <c r="E11" s="32" t="n">
        <f aca="false">N9</f>
        <v>6.41137855579869</v>
      </c>
      <c r="G11" s="22" t="s">
        <v>107</v>
      </c>
      <c r="J11" s="32" t="n">
        <f aca="false">N7</f>
        <v>7.93216630196937</v>
      </c>
      <c r="L11" s="23" t="s">
        <v>108</v>
      </c>
      <c r="N11" s="33" t="n">
        <v>0.21</v>
      </c>
      <c r="O11" s="25" t="s">
        <v>109</v>
      </c>
      <c r="P11" s="26" t="s">
        <v>265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2930</v>
      </c>
      <c r="G12" s="34" t="s">
        <v>85</v>
      </c>
      <c r="H12" s="34"/>
      <c r="I12" s="34"/>
      <c r="J12" s="35" t="n">
        <f aca="false">J10*J11</f>
        <v>3625</v>
      </c>
      <c r="L12" s="23" t="s">
        <v>111</v>
      </c>
      <c r="N12" s="24" t="n">
        <v>13935</v>
      </c>
      <c r="O12" s="25" t="s">
        <v>98</v>
      </c>
      <c r="P12" s="26" t="s">
        <v>266</v>
      </c>
    </row>
    <row r="13" customFormat="false" ht="14.25" hidden="false" customHeight="false" outlineLevel="0" collapsed="false">
      <c r="L13" s="23" t="s">
        <v>113</v>
      </c>
      <c r="N13" s="24" t="n">
        <v>0</v>
      </c>
      <c r="O13" s="25" t="s">
        <v>98</v>
      </c>
      <c r="P13" s="26" t="s">
        <v>267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2019</v>
      </c>
      <c r="F14" s="39" t="n">
        <f aca="false">E14+1</f>
        <v>2020</v>
      </c>
      <c r="G14" s="39" t="n">
        <f aca="false">F14+1</f>
        <v>2021</v>
      </c>
      <c r="H14" s="39" t="n">
        <f aca="false">G14+1</f>
        <v>2022</v>
      </c>
      <c r="I14" s="39" t="n">
        <f aca="false">H14+1</f>
        <v>2023</v>
      </c>
      <c r="J14" s="39" t="n">
        <f aca="false">I14+1</f>
        <v>2024</v>
      </c>
      <c r="L14" s="23" t="s">
        <v>116</v>
      </c>
      <c r="N14" s="31" t="n">
        <f aca="false">N6/N12</f>
        <v>0.0327951202009329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13935</v>
      </c>
      <c r="F15" s="20" t="n">
        <f aca="false">E15+F16</f>
        <v>13935</v>
      </c>
      <c r="G15" s="20" t="n">
        <f aca="false">F15+G16</f>
        <v>13935</v>
      </c>
      <c r="H15" s="20" t="n">
        <f aca="false">G15+H16</f>
        <v>13935</v>
      </c>
      <c r="I15" s="20" t="n">
        <f aca="false">H15+I16</f>
        <v>13935</v>
      </c>
      <c r="J15" s="20" t="n">
        <f aca="false">I15+J16</f>
        <v>13935</v>
      </c>
      <c r="L15" s="23" t="s">
        <v>118</v>
      </c>
      <c r="N15" s="24" t="n">
        <v>101</v>
      </c>
      <c r="O15" s="25" t="s">
        <v>98</v>
      </c>
      <c r="P15" s="26" t="s">
        <v>268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0</v>
      </c>
      <c r="G16" s="41" t="n">
        <f aca="false">F16</f>
        <v>0</v>
      </c>
      <c r="H16" s="41" t="n">
        <f aca="false">G16</f>
        <v>0</v>
      </c>
      <c r="I16" s="41" t="n">
        <f aca="false">H16</f>
        <v>0</v>
      </c>
      <c r="J16" s="41" t="n">
        <f aca="false">I16</f>
        <v>0</v>
      </c>
      <c r="L16" s="23" t="s">
        <v>121</v>
      </c>
      <c r="N16" s="36" t="n">
        <v>100</v>
      </c>
      <c r="O16" s="25" t="s">
        <v>109</v>
      </c>
      <c r="P16" s="26" t="s">
        <v>269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457</v>
      </c>
      <c r="F18" s="20" t="n">
        <f aca="false">F19*F15</f>
        <v>592.2375</v>
      </c>
      <c r="G18" s="20" t="n">
        <f aca="false">G19*G15</f>
        <v>682.815</v>
      </c>
      <c r="H18" s="20" t="n">
        <f aca="false">H19*H15</f>
        <v>756.6705</v>
      </c>
      <c r="I18" s="20" t="n">
        <f aca="false">I19*I15</f>
        <v>756.6705</v>
      </c>
      <c r="J18" s="20" t="n">
        <f aca="false">J19*J15</f>
        <v>756.6705</v>
      </c>
      <c r="L18" s="23" t="s">
        <v>126</v>
      </c>
      <c r="N18" s="42" t="n">
        <v>8</v>
      </c>
      <c r="O18" s="25" t="s">
        <v>109</v>
      </c>
      <c r="P18" s="26" t="s">
        <v>270</v>
      </c>
    </row>
    <row r="19" customFormat="false" ht="14.25" hidden="false" customHeight="false" outlineLevel="0" collapsed="false">
      <c r="B19" s="40" t="s">
        <v>128</v>
      </c>
      <c r="E19" s="58" t="n">
        <f aca="false">N14</f>
        <v>0.0327951202009329</v>
      </c>
      <c r="F19" s="59" t="n">
        <v>0.0425</v>
      </c>
      <c r="G19" s="59" t="n">
        <v>0.049</v>
      </c>
      <c r="H19" s="59" t="n">
        <v>0.0543</v>
      </c>
      <c r="I19" s="59" t="n">
        <v>0.0543</v>
      </c>
      <c r="J19" s="59" t="n">
        <v>0.0543</v>
      </c>
      <c r="L19" s="23" t="s">
        <v>129</v>
      </c>
      <c r="N19" s="44" t="n">
        <v>44201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46027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s">
        <v>38</v>
      </c>
      <c r="O21" s="25" t="s">
        <v>98</v>
      </c>
      <c r="P21" s="26" t="s">
        <v>135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592.2375</v>
      </c>
      <c r="G22" s="46" t="n">
        <f aca="false">G18</f>
        <v>682.815</v>
      </c>
      <c r="H22" s="46" t="n">
        <f aca="false">H18</f>
        <v>756.6705</v>
      </c>
      <c r="I22" s="46" t="n">
        <f aca="false">I18</f>
        <v>756.6705</v>
      </c>
      <c r="J22" s="46" t="n">
        <f aca="false">J18</f>
        <v>756.6705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-101</v>
      </c>
      <c r="G23" s="46" t="n">
        <f aca="false">-$N$15</f>
        <v>-101</v>
      </c>
      <c r="H23" s="46" t="n">
        <f aca="false">-$N$15</f>
        <v>-101</v>
      </c>
      <c r="I23" s="46" t="n">
        <f aca="false">-$N$15</f>
        <v>-101</v>
      </c>
      <c r="J23" s="46" t="n">
        <f aca="false">-$N$15</f>
        <v>-101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491.2375</v>
      </c>
      <c r="G24" s="47" t="n">
        <f aca="false">G22+G23</f>
        <v>581.815</v>
      </c>
      <c r="H24" s="47" t="n">
        <f aca="false">H22+H23</f>
        <v>655.6705</v>
      </c>
      <c r="I24" s="47" t="n">
        <f aca="false">I22+I23</f>
        <v>655.6705</v>
      </c>
      <c r="J24" s="47" t="n">
        <f aca="false">J22+J23</f>
        <v>655.6705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0.02944</v>
      </c>
      <c r="E25" s="46"/>
      <c r="F25" s="46" t="n">
        <f aca="false">$E$12*-$D$25</f>
        <v>-86.2592</v>
      </c>
      <c r="G25" s="46" t="n">
        <f aca="false">$E$12*-$D$25</f>
        <v>-86.2592</v>
      </c>
      <c r="H25" s="46" t="n">
        <f aca="false">$E$12*-$D$25</f>
        <v>-86.2592</v>
      </c>
      <c r="I25" s="46" t="n">
        <f aca="false">$E$12*-$D$25</f>
        <v>-86.2592</v>
      </c>
      <c r="J25" s="46" t="n">
        <f aca="false">$E$12*-$D$25</f>
        <v>-86.2592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404.9783</v>
      </c>
      <c r="G26" s="47" t="n">
        <f aca="false">G24+G25</f>
        <v>495.5558</v>
      </c>
      <c r="H26" s="47" t="n">
        <f aca="false">H24+H25</f>
        <v>569.4113</v>
      </c>
      <c r="I26" s="47" t="n">
        <f aca="false">I24+I25</f>
        <v>569.4113</v>
      </c>
      <c r="J26" s="47" t="n">
        <f aca="false">J24+J25</f>
        <v>569.4113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0.21</v>
      </c>
      <c r="E27" s="46"/>
      <c r="F27" s="46" t="n">
        <f aca="false">F26*-$D27</f>
        <v>-85.045443</v>
      </c>
      <c r="G27" s="46" t="n">
        <f aca="false">G26*-$D27</f>
        <v>-104.066718</v>
      </c>
      <c r="H27" s="46" t="n">
        <f aca="false">H26*-$D27</f>
        <v>-119.576373</v>
      </c>
      <c r="I27" s="46" t="n">
        <f aca="false">I26*-$D27</f>
        <v>-119.576373</v>
      </c>
      <c r="J27" s="46" t="n">
        <f aca="false">J26*-$D27</f>
        <v>-119.576373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319.932857</v>
      </c>
      <c r="G28" s="47" t="n">
        <f aca="false">G26+G27</f>
        <v>391.489082</v>
      </c>
      <c r="H28" s="47" t="n">
        <f aca="false">H26+H27</f>
        <v>449.834927</v>
      </c>
      <c r="I28" s="47" t="n">
        <f aca="false">I26+I27</f>
        <v>449.834927</v>
      </c>
      <c r="J28" s="47" t="n">
        <f aca="false">J26+J27</f>
        <v>449.834927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101</v>
      </c>
      <c r="G29" s="46" t="n">
        <f aca="false">-G23</f>
        <v>101</v>
      </c>
      <c r="H29" s="46" t="n">
        <f aca="false">-H23</f>
        <v>101</v>
      </c>
      <c r="I29" s="46" t="n">
        <f aca="false">-I23</f>
        <v>101</v>
      </c>
      <c r="J29" s="46" t="n">
        <f aca="false">-J23</f>
        <v>101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-100</v>
      </c>
      <c r="G30" s="46" t="n">
        <f aca="false">-$N$16</f>
        <v>-100</v>
      </c>
      <c r="H30" s="46" t="n">
        <f aca="false">-$N$16</f>
        <v>-100</v>
      </c>
      <c r="I30" s="46" t="n">
        <f aca="false">-$N$16</f>
        <v>-100</v>
      </c>
      <c r="J30" s="46" t="n">
        <f aca="false">-$N$16</f>
        <v>-100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320.932857</v>
      </c>
      <c r="G32" s="47" t="n">
        <f aca="false">SUM(G28:G31)</f>
        <v>392.489082</v>
      </c>
      <c r="H32" s="47" t="n">
        <f aca="false">SUM(H28:H31)</f>
        <v>450.834927</v>
      </c>
      <c r="I32" s="47" t="n">
        <f aca="false">SUM(I28:I31)</f>
        <v>450.834927</v>
      </c>
      <c r="J32" s="47" t="n">
        <f aca="false">SUM(J28:J31)</f>
        <v>450.834927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320.932857</v>
      </c>
      <c r="G33" s="48" t="n">
        <f aca="false">SUM($E32:G32)</f>
        <v>713.421939</v>
      </c>
      <c r="H33" s="48" t="n">
        <f aca="false">SUM($E32:H32)</f>
        <v>1164.256866</v>
      </c>
      <c r="I33" s="48" t="n">
        <f aca="false">SUM($E32:I32)</f>
        <v>1615.091793</v>
      </c>
      <c r="J33" s="48" t="n">
        <f aca="false">SUM($E32:J32)</f>
        <v>2065.92672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271</v>
      </c>
      <c r="E37" s="46" t="n">
        <f aca="false">J18</f>
        <v>756.6705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8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6053.364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-2930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2065.92672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5189.29072</v>
      </c>
    </row>
    <row r="43" customFormat="false" ht="14.25" hidden="false" customHeight="false" outlineLevel="0" collapsed="false">
      <c r="B43" s="0" t="s">
        <v>154</v>
      </c>
      <c r="E43" s="46" t="n">
        <f aca="false">E6</f>
        <v>695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7.46660535251799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0.494613866351673</v>
      </c>
    </row>
    <row r="48" customFormat="false" ht="14.25" hidden="false" customHeight="false" outlineLevel="0" collapsed="false">
      <c r="B48" s="51" t="n">
        <f aca="false">N19</f>
        <v>44201</v>
      </c>
      <c r="E48" s="46" t="n">
        <f aca="false">-E6</f>
        <v>-695</v>
      </c>
    </row>
    <row r="49" customFormat="false" ht="14.25" hidden="false" customHeight="false" outlineLevel="0" collapsed="false">
      <c r="B49" s="51" t="n">
        <f aca="false">N20</f>
        <v>46027</v>
      </c>
      <c r="E49" s="46" t="n">
        <f aca="false">E42</f>
        <v>5189.29072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6" t="s">
        <v>213</v>
      </c>
    </row>
    <row r="54" customFormat="false" ht="14.25" hidden="false" customHeight="false" outlineLevel="0" collapsed="false">
      <c r="B54" s="54" t="s">
        <v>160</v>
      </c>
    </row>
    <row r="55" customFormat="false" ht="14.25" hidden="false" customHeight="false" outlineLevel="0" collapsed="false">
      <c r="B55" s="54" t="s">
        <v>161</v>
      </c>
    </row>
    <row r="56" customFormat="false" ht="14.25" hidden="false" customHeight="false" outlineLevel="0" collapsed="false">
      <c r="B56" s="54" t="s">
        <v>162</v>
      </c>
    </row>
    <row r="57" customFormat="false" ht="14.25" hidden="false" customHeight="false" outlineLevel="0" collapsed="false">
      <c r="B57" s="54" t="s">
        <v>163</v>
      </c>
    </row>
    <row r="58" customFormat="false" ht="14.25" hidden="false" customHeight="false" outlineLevel="0" collapsed="false">
      <c r="B58" s="54" t="s">
        <v>164</v>
      </c>
    </row>
    <row r="59" customFormat="false" ht="14.25" hidden="false" customHeight="false" outlineLevel="0" collapsed="false">
      <c r="B59" s="54" t="s">
        <v>165</v>
      </c>
    </row>
    <row r="60" customFormat="false" ht="14.25" hidden="false" customHeight="false" outlineLevel="0" collapsed="false">
      <c r="B60" s="54" t="s">
        <v>166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272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273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274</v>
      </c>
    </row>
  </sheetData>
  <mergeCells count="6">
    <mergeCell ref="B2:J2"/>
    <mergeCell ref="B3:J3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275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22.35" hidden="false" customHeight="false" outlineLevel="0" collapsed="false">
      <c r="B5" s="0" t="s">
        <v>26</v>
      </c>
      <c r="E5" s="20" t="n">
        <f aca="false">E12</f>
        <v>120</v>
      </c>
      <c r="F5" s="21"/>
      <c r="G5" s="22" t="s">
        <v>85</v>
      </c>
      <c r="J5" s="20" t="n">
        <f aca="false">J12</f>
        <v>146</v>
      </c>
      <c r="L5" s="23" t="s">
        <v>86</v>
      </c>
      <c r="N5" s="24" t="n">
        <v>146</v>
      </c>
      <c r="O5" s="25" t="s">
        <v>87</v>
      </c>
      <c r="P5" s="26" t="s">
        <v>276</v>
      </c>
    </row>
    <row r="6" customFormat="false" ht="14.25" hidden="false" customHeight="false" outlineLevel="0" collapsed="false">
      <c r="B6" s="0" t="s">
        <v>89</v>
      </c>
      <c r="E6" s="20" t="n">
        <f aca="false">E7-E5</f>
        <v>26</v>
      </c>
      <c r="L6" s="23" t="s">
        <v>90</v>
      </c>
      <c r="N6" s="36" t="n">
        <v>22</v>
      </c>
      <c r="O6" s="25" t="s">
        <v>109</v>
      </c>
      <c r="P6" s="26" t="s">
        <v>277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146</v>
      </c>
      <c r="G7" s="27" t="s">
        <v>93</v>
      </c>
      <c r="H7" s="27"/>
      <c r="I7" s="27"/>
      <c r="J7" s="28" t="n">
        <f aca="false">J5</f>
        <v>146</v>
      </c>
      <c r="L7" s="23" t="s">
        <v>94</v>
      </c>
      <c r="N7" s="29" t="n">
        <f aca="false">N5/N6</f>
        <v>6.63636363636364</v>
      </c>
      <c r="O7" s="25" t="s">
        <v>95</v>
      </c>
      <c r="P7" s="26" t="s">
        <v>96</v>
      </c>
    </row>
    <row r="8" customFormat="false" ht="22.35" hidden="false" customHeight="false" outlineLevel="0" collapsed="false">
      <c r="L8" s="23" t="s">
        <v>97</v>
      </c>
      <c r="N8" s="36" t="n">
        <v>120</v>
      </c>
      <c r="O8" s="25" t="s">
        <v>109</v>
      </c>
      <c r="P8" s="26" t="s">
        <v>278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5.45454545454545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279</v>
      </c>
      <c r="E10" s="20" t="n">
        <f aca="false">E18</f>
        <v>22</v>
      </c>
      <c r="G10" s="22" t="s">
        <v>279</v>
      </c>
      <c r="J10" s="20" t="n">
        <f aca="false">E18</f>
        <v>22</v>
      </c>
      <c r="L10" s="23" t="s">
        <v>104</v>
      </c>
      <c r="N10" s="33" t="n">
        <v>0.08</v>
      </c>
      <c r="O10" s="25" t="s">
        <v>109</v>
      </c>
      <c r="P10" s="26" t="s">
        <v>178</v>
      </c>
    </row>
    <row r="11" customFormat="false" ht="14.25" hidden="false" customHeight="false" outlineLevel="0" collapsed="false">
      <c r="B11" s="0" t="s">
        <v>106</v>
      </c>
      <c r="E11" s="32" t="n">
        <f aca="false">N9</f>
        <v>5.45454545454545</v>
      </c>
      <c r="G11" s="22" t="s">
        <v>107</v>
      </c>
      <c r="J11" s="32" t="n">
        <f aca="false">N7</f>
        <v>6.63636363636364</v>
      </c>
      <c r="L11" s="23" t="s">
        <v>108</v>
      </c>
      <c r="N11" s="33" t="n">
        <v>0.38</v>
      </c>
      <c r="O11" s="25" t="s">
        <v>109</v>
      </c>
      <c r="P11" s="26" t="s">
        <v>178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120</v>
      </c>
      <c r="G12" s="34" t="s">
        <v>85</v>
      </c>
      <c r="H12" s="34"/>
      <c r="I12" s="34"/>
      <c r="J12" s="35" t="n">
        <f aca="false">J10*J11</f>
        <v>146</v>
      </c>
      <c r="L12" s="23" t="s">
        <v>111</v>
      </c>
      <c r="N12" s="24" t="n">
        <v>280</v>
      </c>
      <c r="O12" s="25" t="s">
        <v>87</v>
      </c>
      <c r="P12" s="26" t="s">
        <v>280</v>
      </c>
    </row>
    <row r="13" customFormat="false" ht="14.25" hidden="false" customHeight="false" outlineLevel="0" collapsed="false">
      <c r="L13" s="23" t="s">
        <v>113</v>
      </c>
      <c r="N13" s="24" t="n">
        <v>22</v>
      </c>
      <c r="O13" s="25" t="s">
        <v>98</v>
      </c>
      <c r="P13" s="26" t="s">
        <v>281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2001</v>
      </c>
      <c r="F14" s="39" t="n">
        <f aca="false">E14+1</f>
        <v>2002</v>
      </c>
      <c r="G14" s="39" t="n">
        <f aca="false">F14+1</f>
        <v>2003</v>
      </c>
      <c r="H14" s="39" t="n">
        <f aca="false">G14+1</f>
        <v>2004</v>
      </c>
      <c r="I14" s="39" t="n">
        <f aca="false">H14+1</f>
        <v>2005</v>
      </c>
      <c r="J14" s="39" t="n">
        <f aca="false">I14+1</f>
        <v>2006</v>
      </c>
      <c r="L14" s="23" t="s">
        <v>116</v>
      </c>
      <c r="N14" s="31" t="n">
        <f aca="false">N6/N12</f>
        <v>0.0785714285714286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280</v>
      </c>
      <c r="F15" s="20" t="n">
        <f aca="false">E15+F16</f>
        <v>302</v>
      </c>
      <c r="G15" s="20" t="n">
        <f aca="false">F15+G16</f>
        <v>324</v>
      </c>
      <c r="H15" s="20" t="n">
        <f aca="false">G15+H16</f>
        <v>346</v>
      </c>
      <c r="I15" s="20" t="n">
        <f aca="false">H15+I16</f>
        <v>368</v>
      </c>
      <c r="J15" s="20" t="n">
        <f aca="false">I15+J16</f>
        <v>390</v>
      </c>
      <c r="L15" s="23" t="s">
        <v>118</v>
      </c>
      <c r="N15" s="24" t="n">
        <v>1</v>
      </c>
      <c r="O15" s="25" t="s">
        <v>98</v>
      </c>
      <c r="P15" s="26" t="s">
        <v>282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22</v>
      </c>
      <c r="G16" s="41" t="n">
        <f aca="false">F16</f>
        <v>22</v>
      </c>
      <c r="H16" s="41" t="n">
        <f aca="false">G16</f>
        <v>22</v>
      </c>
      <c r="I16" s="41" t="n">
        <f aca="false">H16</f>
        <v>22</v>
      </c>
      <c r="J16" s="41" t="n">
        <f aca="false">I16</f>
        <v>22</v>
      </c>
      <c r="L16" s="23" t="s">
        <v>121</v>
      </c>
      <c r="N16" s="36" t="n">
        <v>1.5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-3</v>
      </c>
      <c r="O17" s="25" t="s">
        <v>109</v>
      </c>
      <c r="P17" s="26" t="s">
        <v>210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22</v>
      </c>
      <c r="F18" s="20" t="n">
        <f aca="false">F19*F15</f>
        <v>23.7285714285714</v>
      </c>
      <c r="G18" s="20" t="n">
        <f aca="false">G19*G15</f>
        <v>25.4571428571429</v>
      </c>
      <c r="H18" s="20" t="n">
        <f aca="false">H19*H15</f>
        <v>27.1857142857143</v>
      </c>
      <c r="I18" s="20" t="n">
        <f aca="false">I19*I15</f>
        <v>28.9142857142857</v>
      </c>
      <c r="J18" s="20" t="n">
        <f aca="false">J19*J15</f>
        <v>30.6428571428571</v>
      </c>
      <c r="L18" s="23" t="s">
        <v>126</v>
      </c>
      <c r="N18" s="29" t="n">
        <v>5.8</v>
      </c>
      <c r="O18" s="25" t="s">
        <v>98</v>
      </c>
      <c r="P18" s="26" t="s">
        <v>283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0.0785714285714286</v>
      </c>
      <c r="F19" s="43" t="n">
        <f aca="false">E19</f>
        <v>0.0785714285714286</v>
      </c>
      <c r="G19" s="43" t="n">
        <f aca="false">F19</f>
        <v>0.0785714285714286</v>
      </c>
      <c r="H19" s="43" t="n">
        <f aca="false">G19</f>
        <v>0.0785714285714286</v>
      </c>
      <c r="I19" s="43" t="n">
        <f aca="false">H19</f>
        <v>0.0785714285714286</v>
      </c>
      <c r="J19" s="43" t="n">
        <f aca="false">I19</f>
        <v>0.0785714285714286</v>
      </c>
      <c r="L19" s="23" t="s">
        <v>129</v>
      </c>
      <c r="N19" s="44" t="n">
        <v>37164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38988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38020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23.7285714285714</v>
      </c>
      <c r="G22" s="46" t="n">
        <f aca="false">G18</f>
        <v>25.4571428571429</v>
      </c>
      <c r="H22" s="46" t="n">
        <f aca="false">H18</f>
        <v>27.1857142857143</v>
      </c>
      <c r="I22" s="46" t="n">
        <f aca="false">I18</f>
        <v>28.9142857142857</v>
      </c>
      <c r="J22" s="46" t="n">
        <f aca="false">J18</f>
        <v>30.6428571428571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-1</v>
      </c>
      <c r="G23" s="46" t="n">
        <f aca="false">-$N$15</f>
        <v>-1</v>
      </c>
      <c r="H23" s="46" t="n">
        <f aca="false">-$N$15</f>
        <v>-1</v>
      </c>
      <c r="I23" s="46" t="n">
        <f aca="false">-$N$15</f>
        <v>-1</v>
      </c>
      <c r="J23" s="46" t="n">
        <f aca="false">-$N$15</f>
        <v>-1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22.7285714285714</v>
      </c>
      <c r="G24" s="47" t="n">
        <f aca="false">G22+G23</f>
        <v>24.4571428571429</v>
      </c>
      <c r="H24" s="47" t="n">
        <f aca="false">H22+H23</f>
        <v>26.1857142857143</v>
      </c>
      <c r="I24" s="47" t="n">
        <f aca="false">I22+I23</f>
        <v>27.9142857142857</v>
      </c>
      <c r="J24" s="47" t="n">
        <f aca="false">J22+J23</f>
        <v>29.6428571428571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0.08</v>
      </c>
      <c r="E25" s="46"/>
      <c r="F25" s="46" t="n">
        <f aca="false">$E$12*-$D$25</f>
        <v>-9.6</v>
      </c>
      <c r="G25" s="46" t="n">
        <f aca="false">$E$12*-$D$25</f>
        <v>-9.6</v>
      </c>
      <c r="H25" s="46" t="n">
        <f aca="false">$E$12*-$D$25</f>
        <v>-9.6</v>
      </c>
      <c r="I25" s="46" t="n">
        <f aca="false">$E$12*-$D$25</f>
        <v>-9.6</v>
      </c>
      <c r="J25" s="46" t="n">
        <f aca="false">$E$12*-$D$25</f>
        <v>-9.6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13.1285714285714</v>
      </c>
      <c r="G26" s="47" t="n">
        <f aca="false">G24+G25</f>
        <v>14.8571428571429</v>
      </c>
      <c r="H26" s="47" t="n">
        <f aca="false">H24+H25</f>
        <v>16.5857142857143</v>
      </c>
      <c r="I26" s="47" t="n">
        <f aca="false">I24+I25</f>
        <v>18.3142857142857</v>
      </c>
      <c r="J26" s="47" t="n">
        <f aca="false">J24+J25</f>
        <v>20.0428571428571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0.38</v>
      </c>
      <c r="E27" s="46"/>
      <c r="F27" s="46" t="n">
        <f aca="false">F26*-$D27</f>
        <v>-4.98885714285714</v>
      </c>
      <c r="G27" s="46" t="n">
        <f aca="false">G26*-$D27</f>
        <v>-5.64571428571429</v>
      </c>
      <c r="H27" s="46" t="n">
        <f aca="false">H26*-$D27</f>
        <v>-6.30257142857143</v>
      </c>
      <c r="I27" s="46" t="n">
        <f aca="false">I26*-$D27</f>
        <v>-6.95942857142857</v>
      </c>
      <c r="J27" s="46" t="n">
        <f aca="false">J26*-$D27</f>
        <v>-7.61628571428572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8.13971428571429</v>
      </c>
      <c r="G28" s="47" t="n">
        <f aca="false">G26+G27</f>
        <v>9.21142857142857</v>
      </c>
      <c r="H28" s="47" t="n">
        <f aca="false">H26+H27</f>
        <v>10.2831428571429</v>
      </c>
      <c r="I28" s="47" t="n">
        <f aca="false">I26+I27</f>
        <v>11.3548571428571</v>
      </c>
      <c r="J28" s="47" t="n">
        <f aca="false">J26+J27</f>
        <v>12.4265714285714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1</v>
      </c>
      <c r="G29" s="46" t="n">
        <f aca="false">-G23</f>
        <v>1</v>
      </c>
      <c r="H29" s="46" t="n">
        <f aca="false">-H23</f>
        <v>1</v>
      </c>
      <c r="I29" s="46" t="n">
        <f aca="false">-I23</f>
        <v>1</v>
      </c>
      <c r="J29" s="46" t="n">
        <f aca="false">-J23</f>
        <v>1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-1.5</v>
      </c>
      <c r="G30" s="46" t="n">
        <f aca="false">-$N$16</f>
        <v>-1.5</v>
      </c>
      <c r="H30" s="46" t="n">
        <f aca="false">-$N$16</f>
        <v>-1.5</v>
      </c>
      <c r="I30" s="46" t="n">
        <f aca="false">-$N$16</f>
        <v>-1.5</v>
      </c>
      <c r="J30" s="46" t="n">
        <f aca="false">-$N$16</f>
        <v>-1.5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-3</v>
      </c>
      <c r="G31" s="46" t="n">
        <f aca="false">$N$17</f>
        <v>-3</v>
      </c>
      <c r="H31" s="46" t="n">
        <f aca="false">$N$17</f>
        <v>-3</v>
      </c>
      <c r="I31" s="46" t="n">
        <f aca="false">$N$17</f>
        <v>-3</v>
      </c>
      <c r="J31" s="46" t="n">
        <f aca="false">$N$17</f>
        <v>-3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4.63971428571429</v>
      </c>
      <c r="G32" s="47" t="n">
        <f aca="false">SUM(G28:G31)</f>
        <v>5.71142857142857</v>
      </c>
      <c r="H32" s="47" t="n">
        <f aca="false">SUM(H28:H31)</f>
        <v>6.78314285714286</v>
      </c>
      <c r="I32" s="47" t="n">
        <f aca="false">SUM(I28:I31)</f>
        <v>7.85485714285714</v>
      </c>
      <c r="J32" s="47" t="n">
        <f aca="false">SUM(J28:J31)</f>
        <v>8.92657142857143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4.63971428571429</v>
      </c>
      <c r="G33" s="48" t="n">
        <f aca="false">SUM($E32:G32)</f>
        <v>10.3511428571429</v>
      </c>
      <c r="H33" s="48" t="n">
        <f aca="false">SUM($E32:H32)</f>
        <v>17.1342857142857</v>
      </c>
      <c r="I33" s="48" t="n">
        <f aca="false">SUM($E32:I32)</f>
        <v>24.9891428571429</v>
      </c>
      <c r="J33" s="48" t="n">
        <f aca="false">SUM($E32:J32)</f>
        <v>33.9157142857143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284</v>
      </c>
      <c r="E37" s="46" t="n">
        <f aca="false">J18</f>
        <v>30.6428571428571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5.8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177.728571428571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-120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33.9157142857143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91.6442857142857</v>
      </c>
    </row>
    <row r="43" customFormat="false" ht="14.25" hidden="false" customHeight="false" outlineLevel="0" collapsed="false">
      <c r="B43" s="0" t="s">
        <v>154</v>
      </c>
      <c r="E43" s="46" t="n">
        <f aca="false">E6</f>
        <v>26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3.52478021978022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0.286726961541476</v>
      </c>
    </row>
    <row r="48" customFormat="false" ht="14.25" hidden="false" customHeight="false" outlineLevel="0" collapsed="false">
      <c r="B48" s="51" t="n">
        <f aca="false">N19</f>
        <v>37164</v>
      </c>
      <c r="E48" s="46" t="n">
        <f aca="false">-E6</f>
        <v>-26</v>
      </c>
    </row>
    <row r="49" customFormat="false" ht="14.25" hidden="false" customHeight="false" outlineLevel="0" collapsed="false">
      <c r="B49" s="51" t="n">
        <f aca="false">N20</f>
        <v>38988</v>
      </c>
      <c r="E49" s="46" t="n">
        <f aca="false">E42</f>
        <v>91.6442857142857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310</v>
      </c>
    </row>
    <row r="54" customFormat="false" ht="14.25" hidden="false" customHeight="false" outlineLevel="0" collapsed="false">
      <c r="B54" s="54" t="s">
        <v>160</v>
      </c>
      <c r="E54" s="56" t="n">
        <v>90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220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26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8.46153846153846</v>
      </c>
    </row>
    <row r="58" customFormat="false" ht="14.25" hidden="false" customHeight="false" outlineLevel="0" collapsed="false">
      <c r="B58" s="54" t="s">
        <v>164</v>
      </c>
      <c r="E58" s="57" t="n">
        <f aca="false">IFERROR(XIRR(E62:E63,B62:B63),"n/m")</f>
        <v>1.48579968745978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4.93675824175824</v>
      </c>
    </row>
    <row r="60" customFormat="false" ht="14.25" hidden="false" customHeight="false" outlineLevel="0" collapsed="false">
      <c r="B60" s="54" t="s">
        <v>166</v>
      </c>
      <c r="E60" s="16" t="n">
        <f aca="false">IFERROR((E58-E46)*100,"n/m")</f>
        <v>119.907272591831</v>
      </c>
    </row>
    <row r="62" customFormat="false" ht="14.25" hidden="false" customHeight="false" outlineLevel="0" collapsed="false">
      <c r="B62" s="51" t="n">
        <f aca="false">N19</f>
        <v>37164</v>
      </c>
      <c r="E62" s="22" t="n">
        <f aca="false">-E6</f>
        <v>-26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38020</v>
      </c>
      <c r="E63" s="16" t="n">
        <f aca="false">E55</f>
        <v>220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285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286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287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288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14.25" hidden="false" customHeight="false" outlineLevel="0" collapsed="false">
      <c r="B5" s="0" t="s">
        <v>26</v>
      </c>
      <c r="E5" s="20" t="n">
        <f aca="false">E12</f>
        <v>30</v>
      </c>
      <c r="F5" s="21"/>
      <c r="G5" s="22" t="s">
        <v>85</v>
      </c>
      <c r="J5" s="20" t="n">
        <f aca="false">J12</f>
        <v>58</v>
      </c>
      <c r="L5" s="23" t="s">
        <v>86</v>
      </c>
      <c r="N5" s="24" t="n">
        <v>58</v>
      </c>
      <c r="O5" s="25" t="s">
        <v>87</v>
      </c>
      <c r="P5" s="26" t="s">
        <v>289</v>
      </c>
    </row>
    <row r="6" customFormat="false" ht="14.25" hidden="false" customHeight="false" outlineLevel="0" collapsed="false">
      <c r="B6" s="0" t="s">
        <v>89</v>
      </c>
      <c r="E6" s="20" t="n">
        <f aca="false">E7-E5</f>
        <v>28</v>
      </c>
      <c r="L6" s="23" t="s">
        <v>90</v>
      </c>
      <c r="N6" s="36" t="n">
        <v>8</v>
      </c>
      <c r="O6" s="25" t="s">
        <v>109</v>
      </c>
      <c r="P6" s="26" t="s">
        <v>290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58</v>
      </c>
      <c r="G7" s="27" t="s">
        <v>93</v>
      </c>
      <c r="H7" s="27"/>
      <c r="I7" s="27"/>
      <c r="J7" s="28" t="n">
        <f aca="false">J5</f>
        <v>58</v>
      </c>
      <c r="L7" s="23" t="s">
        <v>94</v>
      </c>
      <c r="N7" s="29" t="n">
        <f aca="false">N5/N6</f>
        <v>7.25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36" t="n">
        <v>30</v>
      </c>
      <c r="O8" s="25" t="s">
        <v>109</v>
      </c>
      <c r="P8" s="26" t="s">
        <v>291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3.75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292</v>
      </c>
      <c r="E10" s="20" t="n">
        <f aca="false">E18</f>
        <v>8</v>
      </c>
      <c r="G10" s="22" t="s">
        <v>292</v>
      </c>
      <c r="J10" s="20" t="n">
        <f aca="false">E18</f>
        <v>8</v>
      </c>
      <c r="L10" s="23" t="s">
        <v>104</v>
      </c>
      <c r="N10" s="33" t="n">
        <v>0.09</v>
      </c>
      <c r="O10" s="25" t="s">
        <v>109</v>
      </c>
      <c r="P10" s="26" t="s">
        <v>178</v>
      </c>
    </row>
    <row r="11" customFormat="false" ht="14.25" hidden="false" customHeight="false" outlineLevel="0" collapsed="false">
      <c r="B11" s="0" t="s">
        <v>106</v>
      </c>
      <c r="E11" s="32" t="n">
        <f aca="false">N9</f>
        <v>3.75</v>
      </c>
      <c r="G11" s="22" t="s">
        <v>107</v>
      </c>
      <c r="J11" s="32" t="n">
        <f aca="false">N7</f>
        <v>7.25</v>
      </c>
      <c r="L11" s="23" t="s">
        <v>108</v>
      </c>
      <c r="N11" s="33" t="n">
        <v>0.38</v>
      </c>
      <c r="O11" s="25" t="s">
        <v>109</v>
      </c>
      <c r="P11" s="26" t="s">
        <v>178</v>
      </c>
    </row>
    <row r="12" customFormat="false" ht="22.35" hidden="false" customHeight="false" outlineLevel="0" collapsed="false">
      <c r="B12" s="34" t="s">
        <v>26</v>
      </c>
      <c r="C12" s="34"/>
      <c r="D12" s="34"/>
      <c r="E12" s="35" t="n">
        <f aca="false">E10*E11</f>
        <v>30</v>
      </c>
      <c r="G12" s="34" t="s">
        <v>85</v>
      </c>
      <c r="H12" s="34"/>
      <c r="I12" s="34"/>
      <c r="J12" s="35" t="n">
        <f aca="false">J10*J11</f>
        <v>58</v>
      </c>
      <c r="L12" s="23" t="s">
        <v>111</v>
      </c>
      <c r="N12" s="36" t="n">
        <v>140</v>
      </c>
      <c r="O12" s="25" t="s">
        <v>109</v>
      </c>
      <c r="P12" s="26" t="s">
        <v>293</v>
      </c>
    </row>
    <row r="13" customFormat="false" ht="14.25" hidden="false" customHeight="false" outlineLevel="0" collapsed="false">
      <c r="L13" s="23" t="s">
        <v>113</v>
      </c>
      <c r="N13" s="24" t="n">
        <v>12</v>
      </c>
      <c r="O13" s="25" t="s">
        <v>98</v>
      </c>
      <c r="P13" s="26" t="s">
        <v>294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2003</v>
      </c>
      <c r="F14" s="39" t="n">
        <f aca="false">E14+1</f>
        <v>2004</v>
      </c>
      <c r="G14" s="39" t="n">
        <f aca="false">F14+1</f>
        <v>2005</v>
      </c>
      <c r="H14" s="39" t="n">
        <f aca="false">G14+1</f>
        <v>2006</v>
      </c>
      <c r="I14" s="39" t="n">
        <f aca="false">H14+1</f>
        <v>2007</v>
      </c>
      <c r="J14" s="39" t="n">
        <f aca="false">I14+1</f>
        <v>2008</v>
      </c>
      <c r="L14" s="23" t="s">
        <v>116</v>
      </c>
      <c r="N14" s="31" t="n">
        <f aca="false">N6/N12</f>
        <v>0.0571428571428571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140</v>
      </c>
      <c r="F15" s="20" t="n">
        <f aca="false">E15+F16</f>
        <v>152</v>
      </c>
      <c r="G15" s="20" t="n">
        <f aca="false">F15+G16</f>
        <v>164</v>
      </c>
      <c r="H15" s="20" t="n">
        <f aca="false">G15+H16</f>
        <v>176</v>
      </c>
      <c r="I15" s="20" t="n">
        <f aca="false">H15+I16</f>
        <v>188</v>
      </c>
      <c r="J15" s="20" t="n">
        <f aca="false">I15+J16</f>
        <v>200</v>
      </c>
      <c r="L15" s="23" t="s">
        <v>118</v>
      </c>
      <c r="N15" s="36" t="n">
        <v>4</v>
      </c>
      <c r="O15" s="25" t="s">
        <v>109</v>
      </c>
      <c r="P15" s="26" t="s">
        <v>178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12</v>
      </c>
      <c r="G16" s="41" t="n">
        <f aca="false">F16</f>
        <v>12</v>
      </c>
      <c r="H16" s="41" t="n">
        <f aca="false">G16</f>
        <v>12</v>
      </c>
      <c r="I16" s="41" t="n">
        <f aca="false">H16</f>
        <v>12</v>
      </c>
      <c r="J16" s="41" t="n">
        <f aca="false">I16</f>
        <v>12</v>
      </c>
      <c r="L16" s="23" t="s">
        <v>121</v>
      </c>
      <c r="N16" s="36" t="n">
        <v>4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-2</v>
      </c>
      <c r="O17" s="25" t="s">
        <v>109</v>
      </c>
      <c r="P17" s="26" t="s">
        <v>178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8</v>
      </c>
      <c r="F18" s="20" t="n">
        <f aca="false">F19*F15</f>
        <v>10.64</v>
      </c>
      <c r="G18" s="20" t="n">
        <f aca="false">G19*G15</f>
        <v>13.12</v>
      </c>
      <c r="H18" s="20" t="n">
        <f aca="false">H19*H15</f>
        <v>15.84</v>
      </c>
      <c r="I18" s="20" t="n">
        <f aca="false">I19*I15</f>
        <v>18.8</v>
      </c>
      <c r="J18" s="20" t="n">
        <f aca="false">J19*J15</f>
        <v>20</v>
      </c>
      <c r="L18" s="23" t="s">
        <v>126</v>
      </c>
      <c r="N18" s="42" t="n">
        <v>9.75</v>
      </c>
      <c r="O18" s="25" t="s">
        <v>109</v>
      </c>
      <c r="P18" s="26" t="s">
        <v>295</v>
      </c>
    </row>
    <row r="19" customFormat="false" ht="14.25" hidden="false" customHeight="false" outlineLevel="0" collapsed="false">
      <c r="B19" s="40" t="s">
        <v>128</v>
      </c>
      <c r="E19" s="58" t="n">
        <f aca="false">N14</f>
        <v>0.0571428571428571</v>
      </c>
      <c r="F19" s="59" t="n">
        <v>0.07</v>
      </c>
      <c r="G19" s="59" t="n">
        <v>0.08</v>
      </c>
      <c r="H19" s="59" t="n">
        <v>0.09</v>
      </c>
      <c r="I19" s="59" t="n">
        <v>0.1</v>
      </c>
      <c r="J19" s="59" t="n">
        <v>0.1</v>
      </c>
      <c r="L19" s="23" t="s">
        <v>129</v>
      </c>
      <c r="N19" s="44" t="n">
        <v>37700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39527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39482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10.64</v>
      </c>
      <c r="G22" s="46" t="n">
        <f aca="false">G18</f>
        <v>13.12</v>
      </c>
      <c r="H22" s="46" t="n">
        <f aca="false">H18</f>
        <v>15.84</v>
      </c>
      <c r="I22" s="46" t="n">
        <f aca="false">I18</f>
        <v>18.8</v>
      </c>
      <c r="J22" s="46" t="n">
        <f aca="false">J18</f>
        <v>20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-4</v>
      </c>
      <c r="G23" s="46" t="n">
        <f aca="false">-$N$15</f>
        <v>-4</v>
      </c>
      <c r="H23" s="46" t="n">
        <f aca="false">-$N$15</f>
        <v>-4</v>
      </c>
      <c r="I23" s="46" t="n">
        <f aca="false">-$N$15</f>
        <v>-4</v>
      </c>
      <c r="J23" s="46" t="n">
        <f aca="false">-$N$15</f>
        <v>-4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6.64</v>
      </c>
      <c r="G24" s="47" t="n">
        <f aca="false">G22+G23</f>
        <v>9.12</v>
      </c>
      <c r="H24" s="47" t="n">
        <f aca="false">H22+H23</f>
        <v>11.84</v>
      </c>
      <c r="I24" s="47" t="n">
        <f aca="false">I22+I23</f>
        <v>14.8</v>
      </c>
      <c r="J24" s="47" t="n">
        <f aca="false">J22+J23</f>
        <v>16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0.09</v>
      </c>
      <c r="E25" s="46"/>
      <c r="F25" s="46" t="n">
        <f aca="false">$E$12*-$D$25</f>
        <v>-2.7</v>
      </c>
      <c r="G25" s="46" t="n">
        <f aca="false">$E$12*-$D$25</f>
        <v>-2.7</v>
      </c>
      <c r="H25" s="46" t="n">
        <f aca="false">$E$12*-$D$25</f>
        <v>-2.7</v>
      </c>
      <c r="I25" s="46" t="n">
        <f aca="false">$E$12*-$D$25</f>
        <v>-2.7</v>
      </c>
      <c r="J25" s="46" t="n">
        <f aca="false">$E$12*-$D$25</f>
        <v>-2.7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3.94</v>
      </c>
      <c r="G26" s="47" t="n">
        <f aca="false">G24+G25</f>
        <v>6.42</v>
      </c>
      <c r="H26" s="47" t="n">
        <f aca="false">H24+H25</f>
        <v>9.14</v>
      </c>
      <c r="I26" s="47" t="n">
        <f aca="false">I24+I25</f>
        <v>12.1</v>
      </c>
      <c r="J26" s="47" t="n">
        <f aca="false">J24+J25</f>
        <v>13.3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0.38</v>
      </c>
      <c r="E27" s="46"/>
      <c r="F27" s="46" t="n">
        <f aca="false">F26*-$D27</f>
        <v>-1.4972</v>
      </c>
      <c r="G27" s="46" t="n">
        <f aca="false">G26*-$D27</f>
        <v>-2.4396</v>
      </c>
      <c r="H27" s="46" t="n">
        <f aca="false">H26*-$D27</f>
        <v>-3.4732</v>
      </c>
      <c r="I27" s="46" t="n">
        <f aca="false">I26*-$D27</f>
        <v>-4.598</v>
      </c>
      <c r="J27" s="46" t="n">
        <f aca="false">J26*-$D27</f>
        <v>-5.054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2.4428</v>
      </c>
      <c r="G28" s="47" t="n">
        <f aca="false">G26+G27</f>
        <v>3.9804</v>
      </c>
      <c r="H28" s="47" t="n">
        <f aca="false">H26+H27</f>
        <v>5.6668</v>
      </c>
      <c r="I28" s="47" t="n">
        <f aca="false">I26+I27</f>
        <v>7.502</v>
      </c>
      <c r="J28" s="47" t="n">
        <f aca="false">J26+J27</f>
        <v>8.246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4</v>
      </c>
      <c r="G29" s="46" t="n">
        <f aca="false">-G23</f>
        <v>4</v>
      </c>
      <c r="H29" s="46" t="n">
        <f aca="false">-H23</f>
        <v>4</v>
      </c>
      <c r="I29" s="46" t="n">
        <f aca="false">-I23</f>
        <v>4</v>
      </c>
      <c r="J29" s="46" t="n">
        <f aca="false">-J23</f>
        <v>4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-4</v>
      </c>
      <c r="G30" s="46" t="n">
        <f aca="false">-$N$16</f>
        <v>-4</v>
      </c>
      <c r="H30" s="46" t="n">
        <f aca="false">-$N$16</f>
        <v>-4</v>
      </c>
      <c r="I30" s="46" t="n">
        <f aca="false">-$N$16</f>
        <v>-4</v>
      </c>
      <c r="J30" s="46" t="n">
        <f aca="false">-$N$16</f>
        <v>-4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-2</v>
      </c>
      <c r="G31" s="46" t="n">
        <f aca="false">$N$17</f>
        <v>-2</v>
      </c>
      <c r="H31" s="46" t="n">
        <f aca="false">$N$17</f>
        <v>-2</v>
      </c>
      <c r="I31" s="46" t="n">
        <f aca="false">$N$17</f>
        <v>-2</v>
      </c>
      <c r="J31" s="46" t="n">
        <f aca="false">$N$17</f>
        <v>-2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0.442800000000001</v>
      </c>
      <c r="G32" s="47" t="n">
        <f aca="false">SUM(G28:G31)</f>
        <v>1.9804</v>
      </c>
      <c r="H32" s="47" t="n">
        <f aca="false">SUM(H28:H31)</f>
        <v>3.6668</v>
      </c>
      <c r="I32" s="47" t="n">
        <f aca="false">SUM(I28:I31)</f>
        <v>5.502</v>
      </c>
      <c r="J32" s="47" t="n">
        <f aca="false">SUM(J28:J31)</f>
        <v>6.246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0.442800000000001</v>
      </c>
      <c r="G33" s="48" t="n">
        <f aca="false">SUM($E32:G32)</f>
        <v>2.4232</v>
      </c>
      <c r="H33" s="48" t="n">
        <f aca="false">SUM($E32:H32)</f>
        <v>6.09</v>
      </c>
      <c r="I33" s="48" t="n">
        <f aca="false">SUM($E32:I32)</f>
        <v>11.592</v>
      </c>
      <c r="J33" s="48" t="n">
        <f aca="false">SUM($E32:J32)</f>
        <v>17.838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296</v>
      </c>
      <c r="E37" s="46" t="n">
        <f aca="false">J18</f>
        <v>20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9.75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195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-30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17.838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182.838</v>
      </c>
    </row>
    <row r="43" customFormat="false" ht="14.25" hidden="false" customHeight="false" outlineLevel="0" collapsed="false">
      <c r="B43" s="0" t="s">
        <v>154</v>
      </c>
      <c r="E43" s="46" t="n">
        <f aca="false">E6</f>
        <v>28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6.52992857142857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0.454799930373307</v>
      </c>
    </row>
    <row r="48" customFormat="false" ht="14.25" hidden="false" customHeight="false" outlineLevel="0" collapsed="false">
      <c r="B48" s="51" t="n">
        <f aca="false">N19</f>
        <v>37700</v>
      </c>
      <c r="E48" s="46" t="n">
        <f aca="false">-E6</f>
        <v>-28</v>
      </c>
    </row>
    <row r="49" customFormat="false" ht="14.25" hidden="false" customHeight="false" outlineLevel="0" collapsed="false">
      <c r="B49" s="51" t="n">
        <f aca="false">N20</f>
        <v>39527</v>
      </c>
      <c r="E49" s="46" t="n">
        <f aca="false">E42</f>
        <v>182.838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195</v>
      </c>
    </row>
    <row r="54" customFormat="false" ht="14.25" hidden="false" customHeight="false" outlineLevel="0" collapsed="false">
      <c r="B54" s="54" t="s">
        <v>160</v>
      </c>
      <c r="E54" s="56" t="n">
        <v>30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165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28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5.89285714285714</v>
      </c>
    </row>
    <row r="58" customFormat="false" ht="14.25" hidden="false" customHeight="false" outlineLevel="0" collapsed="false">
      <c r="B58" s="54" t="s">
        <v>164</v>
      </c>
      <c r="E58" s="57" t="n">
        <f aca="false">IFERROR(XIRR(E62:E63,B62:B63),"n/m")</f>
        <v>0.438079200062588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-0.637071428571428</v>
      </c>
    </row>
    <row r="60" customFormat="false" ht="14.25" hidden="false" customHeight="false" outlineLevel="0" collapsed="false">
      <c r="B60" s="54" t="s">
        <v>166</v>
      </c>
      <c r="E60" s="16" t="n">
        <f aca="false">IFERROR((E58-E46)*100,"n/m")</f>
        <v>-1.67207303107188</v>
      </c>
    </row>
    <row r="62" customFormat="false" ht="14.25" hidden="false" customHeight="false" outlineLevel="0" collapsed="false">
      <c r="B62" s="51" t="n">
        <f aca="false">N19</f>
        <v>37700</v>
      </c>
      <c r="E62" s="22" t="n">
        <f aca="false">-E6</f>
        <v>-28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39482</v>
      </c>
      <c r="E63" s="16" t="n">
        <f aca="false">E55</f>
        <v>165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297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298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299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  <col collapsed="false" customWidth="true" hidden="false" outlineLevel="0" max="12" min="12" style="0" width="30"/>
    <col collapsed="false" customWidth="true" hidden="false" outlineLevel="0" max="13" min="13" style="0" width="3"/>
    <col collapsed="false" customWidth="true" hidden="false" outlineLevel="0" max="14" min="14" style="0" width="14"/>
    <col collapsed="false" customWidth="true" hidden="false" outlineLevel="0" max="15" min="15" style="0" width="6"/>
    <col collapsed="false" customWidth="true" hidden="false" outlineLevel="0" max="16" min="16" style="0" width="70"/>
  </cols>
  <sheetData>
    <row r="2" customFormat="false" ht="17.35" hidden="false" customHeight="false" outlineLevel="0" collapsed="false">
      <c r="B2" s="17" t="s">
        <v>300</v>
      </c>
      <c r="C2" s="17"/>
      <c r="D2" s="17"/>
      <c r="E2" s="17"/>
      <c r="F2" s="17"/>
      <c r="G2" s="17"/>
      <c r="H2" s="17"/>
      <c r="I2" s="17"/>
      <c r="J2" s="17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  <c r="L4" s="19" t="s">
        <v>81</v>
      </c>
      <c r="N4" s="19" t="s">
        <v>82</v>
      </c>
      <c r="O4" s="19" t="s">
        <v>83</v>
      </c>
      <c r="P4" s="19" t="s">
        <v>84</v>
      </c>
    </row>
    <row r="5" customFormat="false" ht="22.35" hidden="false" customHeight="false" outlineLevel="0" collapsed="false">
      <c r="B5" s="0" t="s">
        <v>26</v>
      </c>
      <c r="E5" s="20" t="n">
        <f aca="false">E12</f>
        <v>500</v>
      </c>
      <c r="F5" s="21"/>
      <c r="G5" s="22" t="s">
        <v>85</v>
      </c>
      <c r="J5" s="20" t="n">
        <f aca="false">J12</f>
        <v>1012</v>
      </c>
      <c r="L5" s="23" t="s">
        <v>86</v>
      </c>
      <c r="N5" s="24" t="n">
        <v>1012</v>
      </c>
      <c r="O5" s="25" t="s">
        <v>98</v>
      </c>
      <c r="P5" s="26" t="s">
        <v>301</v>
      </c>
    </row>
    <row r="6" customFormat="false" ht="22.35" hidden="false" customHeight="false" outlineLevel="0" collapsed="false">
      <c r="B6" s="0" t="s">
        <v>89</v>
      </c>
      <c r="E6" s="20" t="n">
        <f aca="false">E7-E5</f>
        <v>512</v>
      </c>
      <c r="L6" s="23" t="s">
        <v>90</v>
      </c>
      <c r="N6" s="24" t="n">
        <v>119.6</v>
      </c>
      <c r="O6" s="25" t="s">
        <v>98</v>
      </c>
      <c r="P6" s="26" t="s">
        <v>302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1012</v>
      </c>
      <c r="G7" s="27" t="s">
        <v>93</v>
      </c>
      <c r="H7" s="27"/>
      <c r="I7" s="27"/>
      <c r="J7" s="28" t="n">
        <f aca="false">J5</f>
        <v>1012</v>
      </c>
      <c r="L7" s="23" t="s">
        <v>94</v>
      </c>
      <c r="N7" s="29" t="n">
        <f aca="false">N5/N6</f>
        <v>8.46153846153846</v>
      </c>
      <c r="O7" s="25" t="s">
        <v>95</v>
      </c>
      <c r="P7" s="26" t="s">
        <v>96</v>
      </c>
    </row>
    <row r="8" customFormat="false" ht="14.25" hidden="false" customHeight="false" outlineLevel="0" collapsed="false">
      <c r="L8" s="23" t="s">
        <v>97</v>
      </c>
      <c r="N8" s="24" t="n">
        <v>500</v>
      </c>
      <c r="O8" s="25" t="s">
        <v>98</v>
      </c>
      <c r="P8" s="26" t="s">
        <v>303</v>
      </c>
    </row>
    <row r="9" customFormat="false" ht="14.25" hidden="false" customHeight="false" outlineLevel="0" collapsed="false">
      <c r="B9" s="30" t="s">
        <v>100</v>
      </c>
      <c r="G9" s="30" t="s">
        <v>101</v>
      </c>
      <c r="L9" s="23" t="s">
        <v>102</v>
      </c>
      <c r="N9" s="29" t="n">
        <f aca="false">N8/N6</f>
        <v>4.18060200668896</v>
      </c>
      <c r="O9" s="25" t="s">
        <v>95</v>
      </c>
      <c r="P9" s="26" t="s">
        <v>96</v>
      </c>
    </row>
    <row r="10" customFormat="false" ht="14.25" hidden="false" customHeight="false" outlineLevel="0" collapsed="false">
      <c r="B10" s="0" t="s">
        <v>304</v>
      </c>
      <c r="E10" s="20" t="n">
        <f aca="false">E18</f>
        <v>119.6</v>
      </c>
      <c r="G10" s="22" t="s">
        <v>304</v>
      </c>
      <c r="J10" s="20" t="n">
        <f aca="false">E18</f>
        <v>119.6</v>
      </c>
      <c r="L10" s="23" t="s">
        <v>104</v>
      </c>
      <c r="N10" s="33" t="n">
        <v>0.07</v>
      </c>
      <c r="O10" s="25" t="s">
        <v>109</v>
      </c>
      <c r="P10" s="26" t="s">
        <v>178</v>
      </c>
    </row>
    <row r="11" customFormat="false" ht="14.25" hidden="false" customHeight="false" outlineLevel="0" collapsed="false">
      <c r="B11" s="0" t="s">
        <v>106</v>
      </c>
      <c r="E11" s="32" t="n">
        <f aca="false">N9</f>
        <v>4.18060200668896</v>
      </c>
      <c r="G11" s="22" t="s">
        <v>107</v>
      </c>
      <c r="J11" s="32" t="n">
        <f aca="false">N7</f>
        <v>8.46153846153846</v>
      </c>
      <c r="L11" s="23" t="s">
        <v>108</v>
      </c>
      <c r="N11" s="33" t="n">
        <v>0.26</v>
      </c>
      <c r="O11" s="25" t="s">
        <v>109</v>
      </c>
      <c r="P11" s="26" t="s">
        <v>305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500</v>
      </c>
      <c r="G12" s="34" t="s">
        <v>85</v>
      </c>
      <c r="H12" s="34"/>
      <c r="I12" s="34"/>
      <c r="J12" s="35" t="n">
        <f aca="false">J10*J11</f>
        <v>1012</v>
      </c>
      <c r="L12" s="23" t="s">
        <v>111</v>
      </c>
      <c r="N12" s="24" t="n">
        <v>2762.5</v>
      </c>
      <c r="O12" s="25" t="s">
        <v>98</v>
      </c>
      <c r="P12" s="26" t="s">
        <v>306</v>
      </c>
    </row>
    <row r="13" customFormat="false" ht="14.25" hidden="false" customHeight="false" outlineLevel="0" collapsed="false">
      <c r="L13" s="23" t="s">
        <v>113</v>
      </c>
      <c r="N13" s="36" t="n">
        <v>80</v>
      </c>
      <c r="O13" s="25" t="s">
        <v>109</v>
      </c>
      <c r="P13" s="26" t="s">
        <v>307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2020</v>
      </c>
      <c r="F14" s="39" t="n">
        <f aca="false">E14+1</f>
        <v>2021</v>
      </c>
      <c r="G14" s="39" t="n">
        <f aca="false">F14+1</f>
        <v>2022</v>
      </c>
      <c r="H14" s="39" t="n">
        <f aca="false">G14+1</f>
        <v>2023</v>
      </c>
      <c r="I14" s="39" t="n">
        <f aca="false">H14+1</f>
        <v>2024</v>
      </c>
      <c r="J14" s="39" t="n">
        <f aca="false">I14+1</f>
        <v>2025</v>
      </c>
      <c r="L14" s="23" t="s">
        <v>116</v>
      </c>
      <c r="N14" s="31" t="n">
        <f aca="false">N6/N12</f>
        <v>0.0432941176470588</v>
      </c>
      <c r="O14" s="25" t="s">
        <v>95</v>
      </c>
      <c r="P14" s="26" t="s">
        <v>96</v>
      </c>
    </row>
    <row r="15" customFormat="false" ht="14.25" hidden="false" customHeight="false" outlineLevel="0" collapsed="false">
      <c r="B15" s="0" t="s">
        <v>117</v>
      </c>
      <c r="E15" s="20" t="n">
        <f aca="false">N12</f>
        <v>2762.5</v>
      </c>
      <c r="F15" s="20" t="n">
        <f aca="false">E15+F16</f>
        <v>2842.5</v>
      </c>
      <c r="G15" s="20" t="n">
        <f aca="false">F15+G16</f>
        <v>2922.5</v>
      </c>
      <c r="H15" s="20" t="n">
        <f aca="false">G15+H16</f>
        <v>3002.5</v>
      </c>
      <c r="I15" s="20" t="n">
        <f aca="false">H15+I16</f>
        <v>3082.5</v>
      </c>
      <c r="J15" s="20" t="n">
        <f aca="false">I15+J16</f>
        <v>3162.5</v>
      </c>
      <c r="L15" s="23" t="s">
        <v>118</v>
      </c>
      <c r="N15" s="24" t="n">
        <v>98.1</v>
      </c>
      <c r="O15" s="25" t="s">
        <v>98</v>
      </c>
      <c r="P15" s="26" t="s">
        <v>308</v>
      </c>
    </row>
    <row r="16" customFormat="false" ht="14.25" hidden="false" customHeight="false" outlineLevel="0" collapsed="false">
      <c r="B16" s="40" t="s">
        <v>120</v>
      </c>
      <c r="F16" s="41" t="n">
        <f aca="false">N13</f>
        <v>80</v>
      </c>
      <c r="G16" s="41" t="n">
        <f aca="false">F16</f>
        <v>80</v>
      </c>
      <c r="H16" s="41" t="n">
        <f aca="false">G16</f>
        <v>80</v>
      </c>
      <c r="I16" s="41" t="n">
        <f aca="false">H16</f>
        <v>80</v>
      </c>
      <c r="J16" s="41" t="n">
        <f aca="false">I16</f>
        <v>80</v>
      </c>
      <c r="L16" s="23" t="s">
        <v>121</v>
      </c>
      <c r="N16" s="36" t="n">
        <v>40</v>
      </c>
      <c r="O16" s="25" t="s">
        <v>109</v>
      </c>
      <c r="P16" s="26" t="s">
        <v>178</v>
      </c>
    </row>
    <row r="17" customFormat="false" ht="14.25" hidden="false" customHeight="false" outlineLevel="0" collapsed="false">
      <c r="L17" s="23" t="s">
        <v>123</v>
      </c>
      <c r="N17" s="36" t="n">
        <v>0</v>
      </c>
      <c r="O17" s="25" t="s">
        <v>109</v>
      </c>
      <c r="P17" s="26" t="s">
        <v>124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119.6</v>
      </c>
      <c r="F18" s="20" t="n">
        <f aca="false">F19*F15</f>
        <v>123.063529411765</v>
      </c>
      <c r="G18" s="20" t="n">
        <f aca="false">G19*G15</f>
        <v>126.527058823529</v>
      </c>
      <c r="H18" s="20" t="n">
        <f aca="false">H19*H15</f>
        <v>129.990588235294</v>
      </c>
      <c r="I18" s="20" t="n">
        <f aca="false">I19*I15</f>
        <v>133.454117647059</v>
      </c>
      <c r="J18" s="20" t="n">
        <f aca="false">J19*J15</f>
        <v>136.917647058824</v>
      </c>
      <c r="L18" s="23" t="s">
        <v>126</v>
      </c>
      <c r="N18" s="42" t="n">
        <v>8.5</v>
      </c>
      <c r="O18" s="25" t="s">
        <v>109</v>
      </c>
      <c r="P18" s="26" t="s">
        <v>309</v>
      </c>
    </row>
    <row r="19" customFormat="false" ht="14.25" hidden="false" customHeight="false" outlineLevel="0" collapsed="false">
      <c r="B19" s="40" t="s">
        <v>128</v>
      </c>
      <c r="E19" s="43" t="n">
        <f aca="false">N14</f>
        <v>0.0432941176470588</v>
      </c>
      <c r="F19" s="43" t="n">
        <f aca="false">E19</f>
        <v>0.0432941176470588</v>
      </c>
      <c r="G19" s="43" t="n">
        <f aca="false">F19</f>
        <v>0.0432941176470588</v>
      </c>
      <c r="H19" s="43" t="n">
        <f aca="false">G19</f>
        <v>0.0432941176470588</v>
      </c>
      <c r="I19" s="43" t="n">
        <f aca="false">H19</f>
        <v>0.0432941176470588</v>
      </c>
      <c r="J19" s="43" t="n">
        <f aca="false">I19</f>
        <v>0.0432941176470588</v>
      </c>
      <c r="L19" s="23" t="s">
        <v>129</v>
      </c>
      <c r="N19" s="44" t="n">
        <v>44243</v>
      </c>
      <c r="O19" s="25" t="s">
        <v>98</v>
      </c>
      <c r="P19" s="26" t="s">
        <v>130</v>
      </c>
    </row>
    <row r="20" customFormat="false" ht="14.25" hidden="false" customHeight="false" outlineLevel="0" collapsed="false">
      <c r="L20" s="23" t="s">
        <v>131</v>
      </c>
      <c r="N20" s="45" t="n">
        <v>46069</v>
      </c>
      <c r="O20" s="25" t="s">
        <v>109</v>
      </c>
      <c r="P20" s="26" t="s">
        <v>132</v>
      </c>
    </row>
    <row r="21" customFormat="false" ht="14.25" hidden="false" customHeight="false" outlineLevel="0" collapsed="false">
      <c r="B21" s="30" t="s">
        <v>133</v>
      </c>
      <c r="L21" s="23" t="s">
        <v>134</v>
      </c>
      <c r="N21" s="44" t="n">
        <v>46069</v>
      </c>
      <c r="O21" s="25" t="s">
        <v>98</v>
      </c>
      <c r="P21" s="26" t="s">
        <v>182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123.063529411765</v>
      </c>
      <c r="G22" s="46" t="n">
        <f aca="false">G18</f>
        <v>126.527058823529</v>
      </c>
      <c r="H22" s="46" t="n">
        <f aca="false">H18</f>
        <v>129.990588235294</v>
      </c>
      <c r="I22" s="46" t="n">
        <f aca="false">I18</f>
        <v>133.454117647059</v>
      </c>
      <c r="J22" s="46" t="n">
        <f aca="false">J18</f>
        <v>136.917647058824</v>
      </c>
    </row>
    <row r="23" customFormat="false" ht="14.25" hidden="false" customHeight="false" outlineLevel="0" collapsed="false">
      <c r="B23" s="0" t="s">
        <v>136</v>
      </c>
      <c r="E23" s="46"/>
      <c r="F23" s="46" t="n">
        <f aca="false">-$N$15</f>
        <v>-98.1</v>
      </c>
      <c r="G23" s="46" t="n">
        <f aca="false">-$N$15</f>
        <v>-98.1</v>
      </c>
      <c r="H23" s="46" t="n">
        <f aca="false">-$N$15</f>
        <v>-98.1</v>
      </c>
      <c r="I23" s="46" t="n">
        <f aca="false">-$N$15</f>
        <v>-98.1</v>
      </c>
      <c r="J23" s="46" t="n">
        <f aca="false">-$N$15</f>
        <v>-98.1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24.9635294117647</v>
      </c>
      <c r="G24" s="47" t="n">
        <f aca="false">G22+G23</f>
        <v>28.4270588235294</v>
      </c>
      <c r="H24" s="47" t="n">
        <f aca="false">H22+H23</f>
        <v>31.8905882352941</v>
      </c>
      <c r="I24" s="47" t="n">
        <f aca="false">I22+I23</f>
        <v>35.3541176470588</v>
      </c>
      <c r="J24" s="47" t="n">
        <f aca="false">J22+J23</f>
        <v>38.8176470588235</v>
      </c>
    </row>
    <row r="25" customFormat="false" ht="14.25" hidden="false" customHeight="false" outlineLevel="0" collapsed="false">
      <c r="B25" s="0" t="s">
        <v>138</v>
      </c>
      <c r="D25" s="43" t="n">
        <f aca="false">N10</f>
        <v>0.07</v>
      </c>
      <c r="E25" s="46"/>
      <c r="F25" s="46" t="n">
        <f aca="false">$E$12*-$D$25</f>
        <v>-35</v>
      </c>
      <c r="G25" s="46" t="n">
        <f aca="false">$E$12*-$D$25</f>
        <v>-35</v>
      </c>
      <c r="H25" s="46" t="n">
        <f aca="false">$E$12*-$D$25</f>
        <v>-35</v>
      </c>
      <c r="I25" s="46" t="n">
        <f aca="false">$E$12*-$D$25</f>
        <v>-35</v>
      </c>
      <c r="J25" s="46" t="n">
        <f aca="false">$E$12*-$D$25</f>
        <v>-35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-10.0364705882353</v>
      </c>
      <c r="G26" s="47" t="n">
        <f aca="false">G24+G25</f>
        <v>-6.57294117647058</v>
      </c>
      <c r="H26" s="47" t="n">
        <f aca="false">H24+H25</f>
        <v>-3.10941176470587</v>
      </c>
      <c r="I26" s="47" t="n">
        <f aca="false">I24+I25</f>
        <v>0.354117647058814</v>
      </c>
      <c r="J26" s="47" t="n">
        <f aca="false">J24+J25</f>
        <v>3.81764705882352</v>
      </c>
    </row>
    <row r="27" customFormat="false" ht="14.25" hidden="false" customHeight="false" outlineLevel="0" collapsed="false">
      <c r="B27" s="0" t="s">
        <v>140</v>
      </c>
      <c r="D27" s="43" t="n">
        <f aca="false">N11</f>
        <v>0.26</v>
      </c>
      <c r="E27" s="46"/>
      <c r="F27" s="46" t="n">
        <f aca="false">F26*-$D27</f>
        <v>2.60948235294118</v>
      </c>
      <c r="G27" s="46" t="n">
        <f aca="false">G26*-$D27</f>
        <v>1.70896470588235</v>
      </c>
      <c r="H27" s="46" t="n">
        <f aca="false">H26*-$D27</f>
        <v>0.808447058823526</v>
      </c>
      <c r="I27" s="46" t="n">
        <f aca="false">I26*-$D27</f>
        <v>-0.0920705882352917</v>
      </c>
      <c r="J27" s="46" t="n">
        <f aca="false">J26*-$D27</f>
        <v>-0.992588235294116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-7.42698823529412</v>
      </c>
      <c r="G28" s="47" t="n">
        <f aca="false">G26+G27</f>
        <v>-4.86397647058823</v>
      </c>
      <c r="H28" s="47" t="n">
        <f aca="false">H26+H27</f>
        <v>-2.30096470588234</v>
      </c>
      <c r="I28" s="47" t="n">
        <f aca="false">I26+I27</f>
        <v>0.262047058823522</v>
      </c>
      <c r="J28" s="47" t="n">
        <f aca="false">J26+J27</f>
        <v>2.82505882352941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98.1</v>
      </c>
      <c r="G29" s="46" t="n">
        <f aca="false">-G23</f>
        <v>98.1</v>
      </c>
      <c r="H29" s="46" t="n">
        <f aca="false">-H23</f>
        <v>98.1</v>
      </c>
      <c r="I29" s="46" t="n">
        <f aca="false">-I23</f>
        <v>98.1</v>
      </c>
      <c r="J29" s="46" t="n">
        <f aca="false">-J23</f>
        <v>98.1</v>
      </c>
    </row>
    <row r="30" customFormat="false" ht="14.25" hidden="false" customHeight="false" outlineLevel="0" collapsed="false">
      <c r="B30" s="0" t="s">
        <v>143</v>
      </c>
      <c r="E30" s="46"/>
      <c r="F30" s="46" t="n">
        <f aca="false">-$N$16</f>
        <v>-40</v>
      </c>
      <c r="G30" s="46" t="n">
        <f aca="false">-$N$16</f>
        <v>-40</v>
      </c>
      <c r="H30" s="46" t="n">
        <f aca="false">-$N$16</f>
        <v>-40</v>
      </c>
      <c r="I30" s="46" t="n">
        <f aca="false">-$N$16</f>
        <v>-40</v>
      </c>
      <c r="J30" s="46" t="n">
        <f aca="false">-$N$16</f>
        <v>-40</v>
      </c>
    </row>
    <row r="31" customFormat="false" ht="14.25" hidden="false" customHeight="false" outlineLevel="0" collapsed="false">
      <c r="B31" s="0" t="s">
        <v>144</v>
      </c>
      <c r="E31" s="46"/>
      <c r="F31" s="46" t="n">
        <f aca="false">$N$17</f>
        <v>0</v>
      </c>
      <c r="G31" s="46" t="n">
        <f aca="false">$N$17</f>
        <v>0</v>
      </c>
      <c r="H31" s="46" t="n">
        <f aca="false">$N$17</f>
        <v>0</v>
      </c>
      <c r="I31" s="46" t="n">
        <f aca="false">$N$17</f>
        <v>0</v>
      </c>
      <c r="J31" s="46" t="n">
        <f aca="false">$N$17</f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50.6730117647059</v>
      </c>
      <c r="G32" s="47" t="n">
        <f aca="false">SUM(G28:G31)</f>
        <v>53.2360235294118</v>
      </c>
      <c r="H32" s="47" t="n">
        <f aca="false">SUM(H28:H31)</f>
        <v>55.7990352941177</v>
      </c>
      <c r="I32" s="47" t="n">
        <f aca="false">SUM(I28:I31)</f>
        <v>58.3620470588235</v>
      </c>
      <c r="J32" s="47" t="n">
        <f aca="false">SUM(J28:J31)</f>
        <v>60.9250588235294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50.6730117647059</v>
      </c>
      <c r="G33" s="48" t="n">
        <f aca="false">SUM($E32:G32)</f>
        <v>103.909035294118</v>
      </c>
      <c r="H33" s="48" t="n">
        <f aca="false">SUM($E32:H32)</f>
        <v>159.708070588235</v>
      </c>
      <c r="I33" s="48" t="n">
        <f aca="false">SUM($E32:I32)</f>
        <v>218.070117647059</v>
      </c>
      <c r="J33" s="48" t="n">
        <f aca="false">SUM($E32:J32)</f>
        <v>278.995176470588</v>
      </c>
    </row>
    <row r="35" customFormat="false" ht="14.25" hidden="false" customHeight="false" outlineLevel="0" collapsed="false">
      <c r="B35" s="37" t="s">
        <v>147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310</v>
      </c>
      <c r="E37" s="46" t="n">
        <f aca="false">J18</f>
        <v>136.917647058824</v>
      </c>
    </row>
    <row r="38" customFormat="false" ht="14.25" hidden="false" customHeight="false" outlineLevel="0" collapsed="false">
      <c r="B38" s="0" t="s">
        <v>149</v>
      </c>
      <c r="E38" s="32" t="n">
        <f aca="false">N18</f>
        <v>8.5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1163.8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-500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278.995176470588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942.795176470588</v>
      </c>
    </row>
    <row r="43" customFormat="false" ht="14.25" hidden="false" customHeight="false" outlineLevel="0" collapsed="false">
      <c r="B43" s="0" t="s">
        <v>154</v>
      </c>
      <c r="E43" s="46" t="n">
        <f aca="false">E6</f>
        <v>512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1.84139682904412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0.129797051126738</v>
      </c>
    </row>
    <row r="48" customFormat="false" ht="14.25" hidden="false" customHeight="false" outlineLevel="0" collapsed="false">
      <c r="B48" s="51" t="n">
        <f aca="false">N19</f>
        <v>44243</v>
      </c>
      <c r="E48" s="46" t="n">
        <f aca="false">-E6</f>
        <v>-512</v>
      </c>
    </row>
    <row r="49" customFormat="false" ht="14.25" hidden="false" customHeight="false" outlineLevel="0" collapsed="false">
      <c r="B49" s="51" t="n">
        <f aca="false">N20</f>
        <v>46069</v>
      </c>
      <c r="E49" s="46" t="n">
        <f aca="false">E42</f>
        <v>942.795176470588</v>
      </c>
    </row>
    <row r="52" customFormat="false" ht="14.25" hidden="false" customHeight="false" outlineLevel="0" collapsed="false">
      <c r="B52" s="52" t="s">
        <v>157</v>
      </c>
      <c r="C52" s="53"/>
      <c r="D52" s="53"/>
      <c r="E52" s="53"/>
      <c r="F52" s="53"/>
      <c r="G52" s="53"/>
      <c r="H52" s="53"/>
      <c r="I52" s="53"/>
      <c r="J52" s="53"/>
    </row>
    <row r="53" customFormat="false" ht="14.25" hidden="false" customHeight="false" outlineLevel="0" collapsed="false">
      <c r="B53" s="54" t="s">
        <v>158</v>
      </c>
      <c r="E53" s="56" t="n">
        <v>1440</v>
      </c>
    </row>
    <row r="54" customFormat="false" ht="14.25" hidden="false" customHeight="false" outlineLevel="0" collapsed="false">
      <c r="B54" s="54" t="s">
        <v>160</v>
      </c>
      <c r="E54" s="56" t="n">
        <v>500</v>
      </c>
    </row>
    <row r="55" customFormat="false" ht="14.25" hidden="false" customHeight="false" outlineLevel="0" collapsed="false">
      <c r="B55" s="54" t="s">
        <v>161</v>
      </c>
      <c r="E55" s="16" t="n">
        <f aca="false">E53-E54</f>
        <v>940</v>
      </c>
    </row>
    <row r="56" customFormat="false" ht="14.25" hidden="false" customHeight="false" outlineLevel="0" collapsed="false">
      <c r="B56" s="54" t="s">
        <v>162</v>
      </c>
      <c r="E56" s="16" t="n">
        <f aca="false">E6</f>
        <v>512</v>
      </c>
    </row>
    <row r="57" customFormat="false" ht="14.25" hidden="false" customHeight="false" outlineLevel="0" collapsed="false">
      <c r="B57" s="54" t="s">
        <v>163</v>
      </c>
      <c r="E57" s="15" t="n">
        <f aca="false">E55/E56</f>
        <v>1.8359375</v>
      </c>
    </row>
    <row r="58" customFormat="false" ht="14.25" hidden="false" customHeight="false" outlineLevel="0" collapsed="false">
      <c r="B58" s="54" t="s">
        <v>164</v>
      </c>
      <c r="E58" s="57" t="n">
        <f aca="false">IFERROR(XIRR(E62:E63,B62:B63),"n/m")</f>
        <v>0.129126703424926</v>
      </c>
    </row>
    <row r="59" customFormat="false" ht="14.25" hidden="false" customHeight="false" outlineLevel="0" collapsed="false">
      <c r="B59" s="54" t="s">
        <v>165</v>
      </c>
      <c r="E59" s="15" t="n">
        <f aca="false">E57-E45</f>
        <v>-0.00545932904411739</v>
      </c>
    </row>
    <row r="60" customFormat="false" ht="14.25" hidden="false" customHeight="false" outlineLevel="0" collapsed="false">
      <c r="B60" s="54" t="s">
        <v>166</v>
      </c>
      <c r="E60" s="16" t="n">
        <f aca="false">IFERROR((E58-E46)*100,"n/m")</f>
        <v>-0.067034770181254</v>
      </c>
    </row>
    <row r="62" customFormat="false" ht="14.25" hidden="false" customHeight="false" outlineLevel="0" collapsed="false">
      <c r="B62" s="51" t="n">
        <f aca="false">N19</f>
        <v>44243</v>
      </c>
      <c r="E62" s="22" t="n">
        <f aca="false">-E6</f>
        <v>-512</v>
      </c>
      <c r="G62" s="6" t="s">
        <v>184</v>
      </c>
    </row>
    <row r="63" customFormat="false" ht="14.25" hidden="false" customHeight="false" outlineLevel="0" collapsed="false">
      <c r="B63" s="51" t="n">
        <f aca="false">N21</f>
        <v>46069</v>
      </c>
      <c r="E63" s="16" t="n">
        <f aca="false">E55</f>
        <v>940</v>
      </c>
    </row>
    <row r="65" customFormat="false" ht="14.25" hidden="false" customHeight="false" outlineLevel="0" collapsed="false">
      <c r="B65" s="14" t="s">
        <v>167</v>
      </c>
    </row>
    <row r="66" customFormat="false" ht="14.25" hidden="false" customHeight="true" outlineLevel="0" collapsed="false">
      <c r="B66" s="55" t="s">
        <v>311</v>
      </c>
      <c r="C66" s="55"/>
      <c r="D66" s="55"/>
      <c r="E66" s="55"/>
      <c r="F66" s="55"/>
      <c r="G66" s="55"/>
      <c r="H66" s="55"/>
      <c r="I66" s="55"/>
      <c r="J66" s="55"/>
    </row>
    <row r="67" customFormat="false" ht="14.25" hidden="false" customHeight="false" outlineLevel="0" collapsed="false">
      <c r="B67" s="55"/>
      <c r="C67" s="55"/>
      <c r="D67" s="55"/>
      <c r="E67" s="55"/>
      <c r="F67" s="55"/>
      <c r="G67" s="55"/>
      <c r="H67" s="55"/>
      <c r="I67" s="55"/>
      <c r="J67" s="55"/>
    </row>
    <row r="68" customFormat="false" ht="14.25" hidden="false" customHeight="false" outlineLevel="0" collapsed="false">
      <c r="B68" s="55"/>
      <c r="C68" s="55"/>
      <c r="D68" s="55"/>
      <c r="E68" s="55"/>
      <c r="F68" s="55"/>
      <c r="G68" s="55"/>
      <c r="H68" s="55"/>
      <c r="I68" s="55"/>
      <c r="J68" s="55"/>
    </row>
    <row r="69" customFormat="false" ht="14.25" hidden="false" customHeight="false" outlineLevel="0" collapsed="false">
      <c r="B69" s="55"/>
      <c r="C69" s="55"/>
      <c r="D69" s="55"/>
      <c r="E69" s="55"/>
      <c r="F69" s="55"/>
      <c r="G69" s="55"/>
      <c r="H69" s="55"/>
      <c r="I69" s="55"/>
      <c r="J69" s="55"/>
    </row>
    <row r="71" customFormat="false" ht="14.25" hidden="false" customHeight="false" outlineLevel="0" collapsed="false">
      <c r="B71" s="14" t="s">
        <v>169</v>
      </c>
    </row>
    <row r="72" customFormat="false" ht="14.25" hidden="false" customHeight="true" outlineLevel="0" collapsed="false">
      <c r="B72" s="55" t="s">
        <v>312</v>
      </c>
      <c r="C72" s="55"/>
      <c r="D72" s="55"/>
      <c r="E72" s="55"/>
      <c r="F72" s="55"/>
      <c r="G72" s="55"/>
      <c r="H72" s="55"/>
      <c r="I72" s="55"/>
      <c r="J72" s="55"/>
    </row>
    <row r="73" customFormat="false" ht="14.25" hidden="false" customHeight="false" outlineLevel="0" collapsed="false"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4.25" hidden="false" customHeight="false" outlineLevel="0" collapsed="false"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4.25" hidden="false" customHeight="false" outlineLevel="0" collapsed="false">
      <c r="B75" s="55"/>
      <c r="C75" s="55"/>
      <c r="D75" s="55"/>
      <c r="E75" s="55"/>
      <c r="F75" s="55"/>
      <c r="G75" s="55"/>
      <c r="H75" s="55"/>
      <c r="I75" s="55"/>
      <c r="J75" s="55"/>
    </row>
    <row r="77" customFormat="false" ht="14.25" hidden="false" customHeight="false" outlineLevel="0" collapsed="false">
      <c r="B77" s="6" t="s">
        <v>313</v>
      </c>
    </row>
  </sheetData>
  <mergeCells count="5">
    <mergeCell ref="B2:J2"/>
    <mergeCell ref="B4:E4"/>
    <mergeCell ref="G4:J4"/>
    <mergeCell ref="B66:J69"/>
    <mergeCell ref="B72:J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2.75" zeroHeight="false" outlineLevelRow="0" outlineLevelCol="0"/>
  <cols>
    <col collapsed="false" customWidth="true" hidden="false" outlineLevel="0" max="1" min="1" style="61" width="2.82"/>
    <col collapsed="false" customWidth="true" hidden="false" outlineLevel="0" max="2" min="2" style="61" width="11.54"/>
    <col collapsed="false" customWidth="false" hidden="false" outlineLevel="0" max="16384" min="3" style="61" width="8.73"/>
  </cols>
  <sheetData>
    <row r="1" customFormat="false" ht="16.15" hidden="false" customHeight="false" outlineLevel="0" collapsed="false">
      <c r="B1" s="62" t="s">
        <v>314</v>
      </c>
    </row>
    <row r="2" customFormat="false" ht="12.75" hidden="false" customHeight="false" outlineLevel="0" collapsed="false">
      <c r="B2" s="63" t="s">
        <v>315</v>
      </c>
      <c r="C2" s="63"/>
      <c r="D2" s="63"/>
      <c r="E2" s="63"/>
      <c r="F2" s="63"/>
      <c r="G2" s="63"/>
      <c r="H2" s="63"/>
      <c r="I2" s="63"/>
      <c r="J2" s="63"/>
      <c r="L2" s="14" t="s">
        <v>316</v>
      </c>
    </row>
    <row r="3" customFormat="false" ht="137.3" hidden="false" customHeight="false" outlineLevel="0" collapsed="false">
      <c r="B3" s="61" t="s">
        <v>317</v>
      </c>
      <c r="E3" s="64" t="n">
        <v>11.875</v>
      </c>
      <c r="G3" s="61" t="s">
        <v>318</v>
      </c>
      <c r="I3" s="64" t="n">
        <v>6.1875</v>
      </c>
      <c r="J3" s="65" t="n">
        <v>0.0225</v>
      </c>
      <c r="L3" s="2" t="s">
        <v>319</v>
      </c>
    </row>
    <row r="4" customFormat="false" ht="85.05" hidden="false" customHeight="false" outlineLevel="0" collapsed="false">
      <c r="B4" s="61" t="s">
        <v>320</v>
      </c>
      <c r="E4" s="64" t="n">
        <v>11</v>
      </c>
      <c r="G4" s="61" t="s">
        <v>321</v>
      </c>
      <c r="I4" s="64" t="n">
        <v>0</v>
      </c>
      <c r="J4" s="65" t="n">
        <v>0</v>
      </c>
      <c r="L4" s="2" t="s">
        <v>322</v>
      </c>
    </row>
    <row r="5" customFormat="false" ht="231.3" hidden="false" customHeight="false" outlineLevel="0" collapsed="false">
      <c r="B5" s="61" t="s">
        <v>323</v>
      </c>
      <c r="E5" s="66" t="n">
        <v>400</v>
      </c>
      <c r="G5" s="61" t="s">
        <v>324</v>
      </c>
      <c r="I5" s="67" t="n">
        <v>365</v>
      </c>
      <c r="L5" s="2" t="s">
        <v>325</v>
      </c>
    </row>
    <row r="6" customFormat="false" ht="179.1" hidden="false" customHeight="false" outlineLevel="0" collapsed="false">
      <c r="B6" s="61" t="s">
        <v>326</v>
      </c>
      <c r="E6" s="68" t="n">
        <v>7</v>
      </c>
      <c r="G6" s="61" t="s">
        <v>327</v>
      </c>
      <c r="I6" s="69" t="n">
        <v>0.25</v>
      </c>
      <c r="L6" s="2" t="s">
        <v>328</v>
      </c>
    </row>
    <row r="7" customFormat="false" ht="408.2" hidden="false" customHeight="false" outlineLevel="0" collapsed="false">
      <c r="B7" s="61" t="s">
        <v>329</v>
      </c>
      <c r="E7" s="68" t="n">
        <v>15</v>
      </c>
      <c r="L7" s="2" t="s">
        <v>330</v>
      </c>
    </row>
    <row r="8" customFormat="false" ht="179.1" hidden="false" customHeight="false" outlineLevel="0" collapsed="false">
      <c r="B8" s="61" t="s">
        <v>331</v>
      </c>
      <c r="E8" s="70" t="n">
        <v>0</v>
      </c>
      <c r="G8" s="71" t="s">
        <v>332</v>
      </c>
      <c r="H8" s="72"/>
      <c r="I8" s="73" t="n">
        <v>1</v>
      </c>
      <c r="J8" s="74" t="s">
        <v>333</v>
      </c>
      <c r="L8" s="2" t="s">
        <v>334</v>
      </c>
    </row>
    <row r="10" customFormat="false" ht="12.75" hidden="false" customHeight="false" outlineLevel="0" collapsed="false">
      <c r="B10" s="63" t="s">
        <v>79</v>
      </c>
      <c r="C10" s="63"/>
      <c r="D10" s="63"/>
      <c r="E10" s="63"/>
      <c r="G10" s="63" t="s">
        <v>80</v>
      </c>
      <c r="H10" s="63"/>
      <c r="I10" s="63"/>
      <c r="J10" s="63"/>
    </row>
    <row r="11" customFormat="false" ht="12.75" hidden="false" customHeight="false" outlineLevel="0" collapsed="false">
      <c r="B11" s="61" t="s">
        <v>335</v>
      </c>
      <c r="E11" s="75" t="n">
        <f aca="false">+I3*$E$5</f>
        <v>2475</v>
      </c>
      <c r="G11" s="61" t="s">
        <v>336</v>
      </c>
      <c r="J11" s="75" t="n">
        <f aca="false">+E18</f>
        <v>4750</v>
      </c>
    </row>
    <row r="12" customFormat="false" ht="12.75" hidden="false" customHeight="false" outlineLevel="0" collapsed="false">
      <c r="B12" s="61" t="s">
        <v>337</v>
      </c>
      <c r="E12" s="75" t="n">
        <f aca="false">+I4*$E$5</f>
        <v>0</v>
      </c>
      <c r="G12" s="61" t="s">
        <v>338</v>
      </c>
      <c r="J12" s="66" t="n">
        <v>70</v>
      </c>
    </row>
    <row r="13" customFormat="false" ht="12.75" hidden="false" customHeight="false" outlineLevel="0" collapsed="false">
      <c r="B13" s="61" t="s">
        <v>339</v>
      </c>
      <c r="E13" s="75" t="n">
        <f aca="false">+E18*E8</f>
        <v>0</v>
      </c>
      <c r="G13" s="61" t="s">
        <v>340</v>
      </c>
      <c r="J13" s="76" t="n">
        <f aca="false">+J3*E11+J4*E12</f>
        <v>55.6875</v>
      </c>
    </row>
    <row r="14" customFormat="false" ht="12.75" hidden="false" customHeight="false" outlineLevel="0" collapsed="false">
      <c r="B14" s="61" t="s">
        <v>341</v>
      </c>
      <c r="E14" s="75" t="n">
        <f aca="false">E15-SUM(E11:E13)</f>
        <v>2400.6875</v>
      </c>
      <c r="J14" s="75"/>
    </row>
    <row r="15" customFormat="false" ht="12.75" hidden="false" customHeight="false" outlineLevel="0" collapsed="false">
      <c r="B15" s="77" t="s">
        <v>92</v>
      </c>
      <c r="C15" s="77"/>
      <c r="D15" s="77"/>
      <c r="E15" s="78" t="n">
        <f aca="false">J15</f>
        <v>4875.6875</v>
      </c>
      <c r="G15" s="77" t="s">
        <v>93</v>
      </c>
      <c r="H15" s="77"/>
      <c r="I15" s="77"/>
      <c r="J15" s="78" t="n">
        <f aca="false">SUM(J11:J14)</f>
        <v>4875.6875</v>
      </c>
    </row>
    <row r="17" customFormat="false" ht="12.75" hidden="false" customHeight="false" outlineLevel="0" collapsed="false">
      <c r="B17" s="63" t="s">
        <v>342</v>
      </c>
      <c r="C17" s="63"/>
      <c r="D17" s="63"/>
      <c r="E17" s="63"/>
      <c r="G17" s="79"/>
    </row>
    <row r="18" customFormat="false" ht="12.75" hidden="false" customHeight="false" outlineLevel="0" collapsed="false">
      <c r="B18" s="61" t="s">
        <v>85</v>
      </c>
      <c r="E18" s="75" t="n">
        <f aca="false">+E3*E5</f>
        <v>4750</v>
      </c>
      <c r="G18" s="80"/>
    </row>
    <row r="19" customFormat="false" ht="12.75" hidden="false" customHeight="false" outlineLevel="0" collapsed="false">
      <c r="B19" s="61" t="s">
        <v>343</v>
      </c>
      <c r="E19" s="66" t="n">
        <v>-600</v>
      </c>
      <c r="G19" s="79"/>
    </row>
    <row r="20" customFormat="false" ht="12.75" hidden="false" customHeight="false" outlineLevel="0" collapsed="false">
      <c r="B20" s="81" t="s">
        <v>344</v>
      </c>
      <c r="C20" s="81"/>
      <c r="D20" s="81"/>
      <c r="E20" s="82" t="n">
        <f aca="false">SUM(E18:E19)</f>
        <v>4150</v>
      </c>
      <c r="G20" s="79"/>
    </row>
    <row r="21" customFormat="false" ht="12.75" hidden="false" customHeight="false" outlineLevel="0" collapsed="false">
      <c r="B21" s="61" t="s">
        <v>345</v>
      </c>
      <c r="D21" s="69" t="n">
        <v>0.1</v>
      </c>
      <c r="E21" s="75" t="n">
        <f aca="false">+-E20*D21</f>
        <v>-415</v>
      </c>
      <c r="G21" s="79"/>
    </row>
    <row r="22" customFormat="false" ht="12.75" hidden="false" customHeight="false" outlineLevel="0" collapsed="false">
      <c r="B22" s="61" t="s">
        <v>346</v>
      </c>
      <c r="D22" s="69" t="n">
        <v>0.25</v>
      </c>
      <c r="E22" s="75" t="n">
        <f aca="false">+-E21*D22</f>
        <v>103.75</v>
      </c>
      <c r="G22" s="79"/>
    </row>
    <row r="23" customFormat="false" ht="12.75" hidden="false" customHeight="false" outlineLevel="0" collapsed="false">
      <c r="B23" s="83" t="s">
        <v>347</v>
      </c>
      <c r="C23" s="83"/>
      <c r="D23" s="83"/>
      <c r="E23" s="84" t="n">
        <f aca="false">SUM(E20:E22)</f>
        <v>3838.75</v>
      </c>
    </row>
    <row r="25" customFormat="false" ht="12.75" hidden="false" customHeight="false" outlineLevel="0" collapsed="false">
      <c r="A25" s="61" t="s">
        <v>348</v>
      </c>
      <c r="B25" s="85" t="s">
        <v>349</v>
      </c>
      <c r="C25" s="85"/>
      <c r="D25" s="85"/>
      <c r="E25" s="85" t="n">
        <v>2024</v>
      </c>
      <c r="F25" s="85" t="n">
        <f aca="false">E25+1</f>
        <v>2025</v>
      </c>
      <c r="G25" s="85" t="n">
        <f aca="false">F25+1</f>
        <v>2026</v>
      </c>
      <c r="H25" s="85" t="n">
        <f aca="false">G25+1</f>
        <v>2027</v>
      </c>
      <c r="I25" s="85" t="n">
        <f aca="false">H25+1</f>
        <v>2028</v>
      </c>
      <c r="J25" s="85" t="n">
        <f aca="false">I25+1</f>
        <v>2029</v>
      </c>
    </row>
    <row r="26" customFormat="false" ht="12.75" hidden="false" customHeight="false" outlineLevel="0" collapsed="false">
      <c r="B26" s="86" t="s">
        <v>117</v>
      </c>
      <c r="C26" s="86"/>
      <c r="D26" s="86"/>
      <c r="E26" s="84" t="n">
        <f aca="false">+E31/E32</f>
        <v>2600.78023407022</v>
      </c>
      <c r="F26" s="84" t="n">
        <f aca="false">+E26*(1+F27)</f>
        <v>2730.81924577373</v>
      </c>
      <c r="G26" s="84" t="n">
        <f aca="false">+F26*(1+G27)</f>
        <v>2867.36020806242</v>
      </c>
      <c r="H26" s="84" t="n">
        <f aca="false">+G26*(1+H27)</f>
        <v>3010.72821846554</v>
      </c>
      <c r="I26" s="84" t="n">
        <f aca="false">+H26*(1+I27)</f>
        <v>3161.26462938882</v>
      </c>
      <c r="J26" s="84" t="n">
        <f aca="false">+I26*(1+J27)</f>
        <v>3319.32786085826</v>
      </c>
    </row>
    <row r="27" customFormat="false" ht="12.75" hidden="false" customHeight="false" outlineLevel="0" collapsed="false">
      <c r="B27" s="87" t="s">
        <v>350</v>
      </c>
      <c r="F27" s="69" t="n">
        <v>0.05</v>
      </c>
      <c r="G27" s="88" t="n">
        <f aca="false">+F27</f>
        <v>0.05</v>
      </c>
      <c r="H27" s="88" t="n">
        <f aca="false">+G27</f>
        <v>0.05</v>
      </c>
      <c r="I27" s="88" t="n">
        <f aca="false">+H27</f>
        <v>0.05</v>
      </c>
      <c r="J27" s="88" t="n">
        <f aca="false">+I27</f>
        <v>0.05</v>
      </c>
    </row>
    <row r="28" customFormat="false" ht="12.75" hidden="false" customHeight="false" outlineLevel="0" collapsed="false">
      <c r="B28" s="61" t="s">
        <v>351</v>
      </c>
      <c r="E28" s="75" t="n">
        <f aca="false">E29-E26</f>
        <v>-1560.46814044213</v>
      </c>
      <c r="F28" s="75" t="n">
        <f aca="false">F29-F26</f>
        <v>-1638.49154746424</v>
      </c>
      <c r="G28" s="75" t="n">
        <f aca="false">G29-G26</f>
        <v>-1720.41612483745</v>
      </c>
      <c r="H28" s="75" t="n">
        <f aca="false">H29-H26</f>
        <v>-1806.43693107932</v>
      </c>
      <c r="I28" s="75" t="n">
        <f aca="false">I29-I26</f>
        <v>-1896.75877763329</v>
      </c>
      <c r="J28" s="75" t="n">
        <f aca="false">J29-J26</f>
        <v>-1991.59671651496</v>
      </c>
    </row>
    <row r="29" customFormat="false" ht="12.75" hidden="false" customHeight="false" outlineLevel="0" collapsed="false">
      <c r="B29" s="83" t="s">
        <v>352</v>
      </c>
      <c r="C29" s="83"/>
      <c r="D29" s="83"/>
      <c r="E29" s="84" t="n">
        <f aca="false">+E26*E30</f>
        <v>1040.31209362809</v>
      </c>
      <c r="F29" s="84" t="n">
        <f aca="false">+F26*F30</f>
        <v>1092.32769830949</v>
      </c>
      <c r="G29" s="84" t="n">
        <f aca="false">+G26*G30</f>
        <v>1146.94408322497</v>
      </c>
      <c r="H29" s="84" t="n">
        <f aca="false">+H26*H30</f>
        <v>1204.29128738622</v>
      </c>
      <c r="I29" s="84" t="n">
        <f aca="false">+I26*I30</f>
        <v>1264.50585175553</v>
      </c>
      <c r="J29" s="84" t="n">
        <f aca="false">+J26*J30</f>
        <v>1327.7311443433</v>
      </c>
    </row>
    <row r="30" customFormat="false" ht="12.75" hidden="false" customHeight="false" outlineLevel="0" collapsed="false">
      <c r="B30" s="87" t="s">
        <v>353</v>
      </c>
      <c r="E30" s="69" t="n">
        <v>0.4</v>
      </c>
      <c r="F30" s="88" t="n">
        <f aca="false">+E30</f>
        <v>0.4</v>
      </c>
      <c r="G30" s="88" t="n">
        <f aca="false">+F30</f>
        <v>0.4</v>
      </c>
      <c r="H30" s="88" t="n">
        <f aca="false">+G30</f>
        <v>0.4</v>
      </c>
      <c r="I30" s="88" t="n">
        <f aca="false">+H30</f>
        <v>0.4</v>
      </c>
      <c r="J30" s="88" t="n">
        <f aca="false">+I30</f>
        <v>0.4</v>
      </c>
    </row>
    <row r="31" customFormat="false" ht="12.75" hidden="false" customHeight="false" outlineLevel="0" collapsed="false">
      <c r="B31" s="86" t="s">
        <v>125</v>
      </c>
      <c r="C31" s="86"/>
      <c r="D31" s="86"/>
      <c r="E31" s="89" t="n">
        <f aca="false">+E5</f>
        <v>400</v>
      </c>
      <c r="F31" s="89" t="n">
        <f aca="false">+F26*F32</f>
        <v>420</v>
      </c>
      <c r="G31" s="89" t="n">
        <f aca="false">+G26*G32</f>
        <v>441</v>
      </c>
      <c r="H31" s="89" t="n">
        <f aca="false">+H26*H32</f>
        <v>463.05</v>
      </c>
      <c r="I31" s="89" t="n">
        <f aca="false">+I26*I32</f>
        <v>486.2025</v>
      </c>
      <c r="J31" s="89" t="n">
        <f aca="false">+J26*J32</f>
        <v>510.512625</v>
      </c>
    </row>
    <row r="32" customFormat="false" ht="12.75" hidden="false" customHeight="false" outlineLevel="0" collapsed="false">
      <c r="B32" s="90" t="s">
        <v>354</v>
      </c>
      <c r="E32" s="69" t="n">
        <v>0.1538</v>
      </c>
      <c r="F32" s="88" t="n">
        <f aca="false">+E32</f>
        <v>0.1538</v>
      </c>
      <c r="G32" s="88" t="n">
        <f aca="false">+F32</f>
        <v>0.1538</v>
      </c>
      <c r="H32" s="88" t="n">
        <f aca="false">+G32</f>
        <v>0.1538</v>
      </c>
      <c r="I32" s="88" t="n">
        <f aca="false">+H32</f>
        <v>0.1538</v>
      </c>
      <c r="J32" s="88" t="n">
        <f aca="false">+I32</f>
        <v>0.1538</v>
      </c>
    </row>
    <row r="33" customFormat="false" ht="12.75" hidden="false" customHeight="false" outlineLevel="0" collapsed="false">
      <c r="B33" s="61" t="s">
        <v>136</v>
      </c>
      <c r="F33" s="75" t="n">
        <f aca="false">+-F26*F46+F42</f>
        <v>-109.591244039879</v>
      </c>
      <c r="G33" s="75" t="n">
        <f aca="false">+-G26*G46+G42</f>
        <v>-113.687472908539</v>
      </c>
      <c r="H33" s="75" t="n">
        <f aca="false">+-H26*H46+H42</f>
        <v>-117.988513220633</v>
      </c>
      <c r="I33" s="75" t="n">
        <f aca="false">+-I26*I46+I42</f>
        <v>-122.504605548331</v>
      </c>
      <c r="J33" s="75" t="n">
        <f aca="false">+-J26*J46+J42</f>
        <v>-127.246502492414</v>
      </c>
    </row>
    <row r="34" customFormat="false" ht="12.75" hidden="false" customHeight="false" outlineLevel="0" collapsed="false">
      <c r="B34" s="83" t="s">
        <v>137</v>
      </c>
      <c r="C34" s="83"/>
      <c r="D34" s="83"/>
      <c r="E34" s="83"/>
      <c r="F34" s="84" t="n">
        <f aca="false">+F31+F33</f>
        <v>310.408755960121</v>
      </c>
      <c r="G34" s="84" t="n">
        <f aca="false">+G31+G33</f>
        <v>327.312527091461</v>
      </c>
      <c r="H34" s="84" t="n">
        <f aca="false">+H31+H33</f>
        <v>345.061486779367</v>
      </c>
      <c r="I34" s="84" t="n">
        <f aca="false">+I31+I33</f>
        <v>363.697894451669</v>
      </c>
      <c r="J34" s="84" t="n">
        <f aca="false">+J31+J33</f>
        <v>383.266122507586</v>
      </c>
    </row>
    <row r="35" customFormat="false" ht="12.75" hidden="false" customHeight="false" outlineLevel="0" collapsed="false">
      <c r="B35" s="61" t="s">
        <v>355</v>
      </c>
      <c r="F35" s="91" t="n">
        <f aca="false">+$I$8*F150</f>
        <v>-223.9875</v>
      </c>
      <c r="G35" s="91" t="n">
        <f aca="false">+$I$8*G150</f>
        <v>-222.9445210621</v>
      </c>
      <c r="H35" s="91" t="n">
        <f aca="false">+$I$8*H150</f>
        <v>-216.362329414913</v>
      </c>
      <c r="I35" s="91" t="n">
        <f aca="false">+$I$8*I150</f>
        <v>-207.998330384836</v>
      </c>
      <c r="J35" s="91" t="n">
        <f aca="false">+$I$8*J150</f>
        <v>-197.829778978071</v>
      </c>
    </row>
    <row r="36" customFormat="false" ht="12.75" hidden="false" customHeight="false" outlineLevel="0" collapsed="false">
      <c r="B36" s="61" t="s">
        <v>356</v>
      </c>
      <c r="F36" s="91" t="n">
        <f aca="false">+$I$8*F148</f>
        <v>0</v>
      </c>
      <c r="G36" s="91" t="n">
        <f aca="false">+$I$8*G148</f>
        <v>2</v>
      </c>
      <c r="H36" s="91" t="n">
        <f aca="false">+$I$8*H148</f>
        <v>2</v>
      </c>
      <c r="I36" s="91" t="n">
        <f aca="false">+$I$8*I148</f>
        <v>2</v>
      </c>
      <c r="J36" s="91" t="n">
        <f aca="false">+$I$8*J148</f>
        <v>2</v>
      </c>
    </row>
    <row r="37" customFormat="false" ht="12.75" hidden="false" customHeight="false" outlineLevel="0" collapsed="false">
      <c r="B37" s="61" t="s">
        <v>357</v>
      </c>
      <c r="F37" s="75" t="n">
        <f aca="false">+-$J$13/$E$6</f>
        <v>-7.95535714285714</v>
      </c>
      <c r="G37" s="75" t="n">
        <f aca="false">+-$J$13/$E$6</f>
        <v>-7.95535714285714</v>
      </c>
      <c r="H37" s="75" t="n">
        <f aca="false">+-$J$13/$E$6</f>
        <v>-7.95535714285714</v>
      </c>
      <c r="I37" s="75" t="n">
        <f aca="false">+-$J$13/$E$6</f>
        <v>-7.95535714285714</v>
      </c>
      <c r="J37" s="75" t="n">
        <f aca="false">+-$J$13/$E$6</f>
        <v>-7.95535714285714</v>
      </c>
    </row>
    <row r="38" customFormat="false" ht="12.75" hidden="false" customHeight="false" outlineLevel="0" collapsed="false">
      <c r="B38" s="83" t="s">
        <v>139</v>
      </c>
      <c r="C38" s="83"/>
      <c r="D38" s="83"/>
      <c r="E38" s="83"/>
      <c r="F38" s="84" t="n">
        <f aca="false">SUM(F34:F37)</f>
        <v>78.4658988172643</v>
      </c>
      <c r="G38" s="84" t="n">
        <f aca="false">SUM(G34:G37)</f>
        <v>98.4126488865039</v>
      </c>
      <c r="H38" s="84" t="n">
        <f aca="false">SUM(H34:H37)</f>
        <v>122.743800221597</v>
      </c>
      <c r="I38" s="84" t="n">
        <f aca="false">SUM(I34:I37)</f>
        <v>149.744206923976</v>
      </c>
      <c r="J38" s="84" t="n">
        <f aca="false">SUM(J34:J37)</f>
        <v>179.480986386658</v>
      </c>
    </row>
    <row r="39" customFormat="false" ht="12.75" hidden="false" customHeight="false" outlineLevel="0" collapsed="false">
      <c r="B39" s="61" t="s">
        <v>140</v>
      </c>
      <c r="F39" s="75" t="n">
        <f aca="false">+-F38*$I$6</f>
        <v>-19.6164747043161</v>
      </c>
      <c r="G39" s="75" t="n">
        <f aca="false">+-G38*$I$6</f>
        <v>-24.603162221626</v>
      </c>
      <c r="H39" s="75" t="n">
        <f aca="false">+-H38*$I$6</f>
        <v>-30.6859500553993</v>
      </c>
      <c r="I39" s="75" t="n">
        <f aca="false">+-I38*$I$6</f>
        <v>-37.436051730994</v>
      </c>
      <c r="J39" s="75" t="n">
        <f aca="false">+-J38*$I$6</f>
        <v>-44.8702465966645</v>
      </c>
    </row>
    <row r="40" customFormat="false" ht="12.75" hidden="false" customHeight="false" outlineLevel="0" collapsed="false">
      <c r="B40" s="83" t="s">
        <v>141</v>
      </c>
      <c r="C40" s="83"/>
      <c r="D40" s="83"/>
      <c r="E40" s="83"/>
      <c r="F40" s="84" t="n">
        <f aca="false">SUM(F38:F39)</f>
        <v>58.8494241129482</v>
      </c>
      <c r="G40" s="84" t="n">
        <f aca="false">SUM(G38:G39)</f>
        <v>73.8094866648779</v>
      </c>
      <c r="H40" s="84" t="n">
        <f aca="false">SUM(H38:H39)</f>
        <v>92.0578501661979</v>
      </c>
      <c r="I40" s="84" t="n">
        <f aca="false">SUM(I38:I39)</f>
        <v>112.308155192982</v>
      </c>
      <c r="J40" s="84" t="n">
        <f aca="false">SUM(J38:J39)</f>
        <v>134.610739789993</v>
      </c>
    </row>
    <row r="41" customFormat="false" ht="12.75" hidden="false" customHeight="false" outlineLevel="0" collapsed="false">
      <c r="F41" s="75"/>
      <c r="G41" s="75"/>
      <c r="H41" s="75"/>
      <c r="I41" s="75"/>
      <c r="J41" s="75"/>
    </row>
    <row r="42" customFormat="false" ht="12.75" hidden="false" customHeight="false" outlineLevel="0" collapsed="false">
      <c r="B42" s="61" t="s">
        <v>358</v>
      </c>
      <c r="F42" s="75" t="n">
        <f aca="false">+$E$21/$E$7</f>
        <v>-27.6666666666667</v>
      </c>
      <c r="G42" s="75" t="n">
        <f aca="false">+$E$21/$E$7</f>
        <v>-27.6666666666667</v>
      </c>
      <c r="H42" s="75" t="n">
        <f aca="false">+$E$21/$E$7</f>
        <v>-27.6666666666667</v>
      </c>
      <c r="I42" s="75" t="n">
        <f aca="false">+$E$21/$E$7</f>
        <v>-27.6666666666667</v>
      </c>
      <c r="J42" s="75" t="n">
        <f aca="false">+$E$21/$E$7</f>
        <v>-27.6666666666667</v>
      </c>
    </row>
    <row r="43" customFormat="false" ht="12.75" hidden="false" customHeight="false" outlineLevel="0" collapsed="false">
      <c r="B43" s="61" t="s">
        <v>346</v>
      </c>
      <c r="F43" s="75" t="n">
        <f aca="false">+F42*$D$22</f>
        <v>-6.91666666666667</v>
      </c>
      <c r="G43" s="75" t="n">
        <f aca="false">+G42*$D$22</f>
        <v>-6.91666666666667</v>
      </c>
      <c r="H43" s="75" t="n">
        <f aca="false">+H42*$D$22</f>
        <v>-6.91666666666667</v>
      </c>
      <c r="I43" s="75" t="n">
        <f aca="false">+I42*$D$22</f>
        <v>-6.91666666666667</v>
      </c>
      <c r="J43" s="75" t="n">
        <f aca="false">+J42*$D$22</f>
        <v>-6.91666666666667</v>
      </c>
    </row>
    <row r="44" customFormat="false" ht="12.75" hidden="false" customHeight="false" outlineLevel="0" collapsed="false">
      <c r="B44" s="61" t="s">
        <v>359</v>
      </c>
      <c r="F44" s="75" t="n">
        <f aca="false">-F47*F33</f>
        <v>87.6729952319029</v>
      </c>
      <c r="G44" s="75" t="n">
        <f aca="false">-G47*G33</f>
        <v>90.9499783268314</v>
      </c>
      <c r="H44" s="75" t="n">
        <f aca="false">-H47*H33</f>
        <v>94.3908105765063</v>
      </c>
      <c r="I44" s="75" t="n">
        <f aca="false">-I47*I33</f>
        <v>98.003684438665</v>
      </c>
      <c r="J44" s="75" t="n">
        <f aca="false">-J47*J33</f>
        <v>101.797201993932</v>
      </c>
    </row>
    <row r="46" customFormat="false" ht="12.75" hidden="false" customHeight="false" outlineLevel="0" collapsed="false">
      <c r="B46" s="61" t="s">
        <v>360</v>
      </c>
      <c r="F46" s="69" t="n">
        <v>0.03</v>
      </c>
      <c r="G46" s="92" t="n">
        <f aca="false">+F46</f>
        <v>0.03</v>
      </c>
      <c r="H46" s="92" t="n">
        <f aca="false">+G46</f>
        <v>0.03</v>
      </c>
      <c r="I46" s="92" t="n">
        <f aca="false">+H46</f>
        <v>0.03</v>
      </c>
      <c r="J46" s="92" t="n">
        <f aca="false">+I46</f>
        <v>0.03</v>
      </c>
    </row>
    <row r="47" customFormat="false" ht="12.75" hidden="false" customHeight="false" outlineLevel="0" collapsed="false">
      <c r="B47" s="61" t="s">
        <v>361</v>
      </c>
      <c r="F47" s="69" t="n">
        <v>0.8</v>
      </c>
      <c r="G47" s="92" t="n">
        <f aca="false">+F47</f>
        <v>0.8</v>
      </c>
      <c r="H47" s="92" t="n">
        <f aca="false">+G47</f>
        <v>0.8</v>
      </c>
      <c r="I47" s="92" t="n">
        <f aca="false">+H47</f>
        <v>0.8</v>
      </c>
      <c r="J47" s="92" t="n">
        <f aca="false">+I47</f>
        <v>0.8</v>
      </c>
    </row>
    <row r="49" customFormat="false" ht="12.75" hidden="false" customHeight="false" outlineLevel="0" collapsed="false">
      <c r="A49" s="61" t="s">
        <v>348</v>
      </c>
      <c r="B49" s="85" t="s">
        <v>362</v>
      </c>
      <c r="C49" s="85"/>
      <c r="D49" s="85"/>
      <c r="E49" s="85" t="n">
        <v>2013</v>
      </c>
      <c r="F49" s="85" t="n">
        <f aca="false">E49+1</f>
        <v>2014</v>
      </c>
      <c r="G49" s="85" t="n">
        <f aca="false">F49+1</f>
        <v>2015</v>
      </c>
      <c r="H49" s="85" t="n">
        <f aca="false">G49+1</f>
        <v>2016</v>
      </c>
      <c r="I49" s="85" t="n">
        <f aca="false">H49+1</f>
        <v>2017</v>
      </c>
      <c r="J49" s="85" t="n">
        <f aca="false">I49+1</f>
        <v>2018</v>
      </c>
    </row>
    <row r="50" customFormat="false" ht="12.75" hidden="false" customHeight="false" outlineLevel="0" collapsed="false">
      <c r="B50" s="61" t="s">
        <v>363</v>
      </c>
      <c r="E50" s="75" t="n">
        <f aca="false">+E26*E57/$I$5</f>
        <v>320.644138447014</v>
      </c>
      <c r="F50" s="75" t="n">
        <f aca="false">+F26*F57/$I$5</f>
        <v>336.676345369364</v>
      </c>
      <c r="G50" s="75" t="n">
        <f aca="false">+G26*G57/$I$5</f>
        <v>353.510162637833</v>
      </c>
      <c r="H50" s="75" t="n">
        <f aca="false">+H26*H57/$I$5</f>
        <v>371.185670769724</v>
      </c>
      <c r="I50" s="75" t="n">
        <f aca="false">+I26*I57/$I$5</f>
        <v>389.74495430821</v>
      </c>
      <c r="J50" s="75" t="n">
        <f aca="false">+J26*J57/$I$5</f>
        <v>409.232202023621</v>
      </c>
    </row>
    <row r="51" customFormat="false" ht="12.75" hidden="false" customHeight="false" outlineLevel="0" collapsed="false">
      <c r="B51" s="61" t="s">
        <v>364</v>
      </c>
      <c r="E51" s="75" t="n">
        <f aca="false">-E28/E58</f>
        <v>312.093628088427</v>
      </c>
      <c r="F51" s="75" t="n">
        <f aca="false">-F28/F58</f>
        <v>327.698309492848</v>
      </c>
      <c r="G51" s="75" t="n">
        <f aca="false">-G28/G58</f>
        <v>344.08322496749</v>
      </c>
      <c r="H51" s="75" t="n">
        <f aca="false">-H28/H58</f>
        <v>361.287386215865</v>
      </c>
      <c r="I51" s="75" t="n">
        <f aca="false">-I28/I58</f>
        <v>379.351755526658</v>
      </c>
      <c r="J51" s="75" t="n">
        <f aca="false">-J28/J58</f>
        <v>398.319343302991</v>
      </c>
    </row>
    <row r="52" customFormat="false" ht="12.75" hidden="false" customHeight="false" outlineLevel="0" collapsed="false">
      <c r="B52" s="61" t="s">
        <v>365</v>
      </c>
      <c r="E52" s="75" t="n">
        <f aca="false">-E28*E59/$I$5</f>
        <v>192.386483068208</v>
      </c>
      <c r="F52" s="75" t="n">
        <f aca="false">-F28*F59/$I$5</f>
        <v>202.005807221619</v>
      </c>
      <c r="G52" s="75" t="n">
        <f aca="false">-G28*G59/$I$5</f>
        <v>212.106097582699</v>
      </c>
      <c r="H52" s="75" t="n">
        <f aca="false">-H28*H59/$I$5</f>
        <v>222.711402461834</v>
      </c>
      <c r="I52" s="75" t="n">
        <f aca="false">-I28*I59/$I$5</f>
        <v>233.846972584926</v>
      </c>
      <c r="J52" s="75" t="n">
        <f aca="false">-J28*J59/$I$5</f>
        <v>245.539321214173</v>
      </c>
    </row>
    <row r="53" customFormat="false" ht="12.75" hidden="false" customHeight="false" outlineLevel="0" collapsed="false">
      <c r="B53" s="81" t="s">
        <v>366</v>
      </c>
      <c r="C53" s="81"/>
      <c r="D53" s="81"/>
      <c r="E53" s="82" t="n">
        <f aca="false">+E50+E51-E52</f>
        <v>440.351283467232</v>
      </c>
      <c r="F53" s="82" t="n">
        <f aca="false">+F50+F51-F52</f>
        <v>462.368847640594</v>
      </c>
      <c r="G53" s="82" t="n">
        <f aca="false">+G50+G51-G52</f>
        <v>485.487290022623</v>
      </c>
      <c r="H53" s="82" t="n">
        <f aca="false">+H50+H51-H52</f>
        <v>509.761654523755</v>
      </c>
      <c r="I53" s="82" t="n">
        <f aca="false">+I50+I51-I52</f>
        <v>535.249737249942</v>
      </c>
      <c r="J53" s="82" t="n">
        <f aca="false">+J50+J51-J52</f>
        <v>562.012224112439</v>
      </c>
    </row>
    <row r="54" customFormat="false" ht="12.75" hidden="false" customHeight="false" outlineLevel="0" collapsed="false">
      <c r="B54" s="61" t="s">
        <v>367</v>
      </c>
      <c r="E54" s="75"/>
      <c r="F54" s="75" t="n">
        <f aca="false">+F53-E53</f>
        <v>22.0175641733617</v>
      </c>
      <c r="G54" s="75" t="n">
        <f aca="false">+G53-F53</f>
        <v>23.1184423820297</v>
      </c>
      <c r="H54" s="75" t="n">
        <f aca="false">+H53-G53</f>
        <v>24.2743645011312</v>
      </c>
      <c r="I54" s="75" t="n">
        <f aca="false">+I53-H53</f>
        <v>25.4880827261877</v>
      </c>
      <c r="J54" s="75" t="n">
        <f aca="false">+J53-I53</f>
        <v>26.7624868624971</v>
      </c>
    </row>
    <row r="56" customFormat="false" ht="12.75" hidden="false" customHeight="false" outlineLevel="0" collapsed="false">
      <c r="B56" s="93" t="s">
        <v>368</v>
      </c>
    </row>
    <row r="57" customFormat="false" ht="12.75" hidden="false" customHeight="false" outlineLevel="0" collapsed="false">
      <c r="B57" s="61" t="s">
        <v>363</v>
      </c>
      <c r="E57" s="94" t="n">
        <v>45</v>
      </c>
      <c r="F57" s="95" t="n">
        <f aca="false">+E57</f>
        <v>45</v>
      </c>
      <c r="G57" s="95" t="n">
        <f aca="false">+F57</f>
        <v>45</v>
      </c>
      <c r="H57" s="95" t="n">
        <f aca="false">+G57</f>
        <v>45</v>
      </c>
      <c r="I57" s="95" t="n">
        <f aca="false">+H57</f>
        <v>45</v>
      </c>
      <c r="J57" s="95" t="n">
        <f aca="false">+I57</f>
        <v>45</v>
      </c>
    </row>
    <row r="58" customFormat="false" ht="12.75" hidden="false" customHeight="false" outlineLevel="0" collapsed="false">
      <c r="B58" s="61" t="s">
        <v>364</v>
      </c>
      <c r="E58" s="64" t="n">
        <v>5</v>
      </c>
      <c r="F58" s="96" t="n">
        <f aca="false">+E58</f>
        <v>5</v>
      </c>
      <c r="G58" s="96" t="n">
        <f aca="false">+F58</f>
        <v>5</v>
      </c>
      <c r="H58" s="96" t="n">
        <f aca="false">+G58</f>
        <v>5</v>
      </c>
      <c r="I58" s="96" t="n">
        <f aca="false">+H58</f>
        <v>5</v>
      </c>
      <c r="J58" s="96" t="n">
        <f aca="false">+I58</f>
        <v>5</v>
      </c>
    </row>
    <row r="59" customFormat="false" ht="12.75" hidden="false" customHeight="false" outlineLevel="0" collapsed="false">
      <c r="B59" s="61" t="s">
        <v>365</v>
      </c>
      <c r="E59" s="94" t="n">
        <v>45</v>
      </c>
      <c r="F59" s="95" t="n">
        <f aca="false">+E59</f>
        <v>45</v>
      </c>
      <c r="G59" s="95" t="n">
        <f aca="false">+F59</f>
        <v>45</v>
      </c>
      <c r="H59" s="95" t="n">
        <f aca="false">+G59</f>
        <v>45</v>
      </c>
      <c r="I59" s="95" t="n">
        <f aca="false">+H59</f>
        <v>45</v>
      </c>
      <c r="J59" s="95" t="n">
        <f aca="false">+I59</f>
        <v>45</v>
      </c>
    </row>
    <row r="61" customFormat="false" ht="12.75" hidden="false" customHeight="false" outlineLevel="0" collapsed="false">
      <c r="A61" s="61" t="s">
        <v>348</v>
      </c>
      <c r="B61" s="85" t="s">
        <v>369</v>
      </c>
      <c r="C61" s="85"/>
      <c r="D61" s="85"/>
      <c r="E61" s="85" t="n">
        <v>2013</v>
      </c>
      <c r="F61" s="85" t="n">
        <f aca="false">E61+1</f>
        <v>2014</v>
      </c>
      <c r="G61" s="85" t="n">
        <f aca="false">F61+1</f>
        <v>2015</v>
      </c>
      <c r="H61" s="85" t="n">
        <f aca="false">G61+1</f>
        <v>2016</v>
      </c>
      <c r="I61" s="85" t="n">
        <f aca="false">H61+1</f>
        <v>2017</v>
      </c>
      <c r="J61" s="85" t="n">
        <f aca="false">I61+1</f>
        <v>2018</v>
      </c>
    </row>
    <row r="62" customFormat="false" ht="12.75" hidden="false" customHeight="false" outlineLevel="0" collapsed="false">
      <c r="B62" s="61" t="s">
        <v>370</v>
      </c>
      <c r="E62" s="97" t="n">
        <v>0</v>
      </c>
      <c r="F62" s="76" t="n">
        <f aca="false">+E62+F92</f>
        <v>50</v>
      </c>
      <c r="G62" s="76" t="n">
        <f aca="false">+F62+G92</f>
        <v>50</v>
      </c>
      <c r="H62" s="76" t="n">
        <f aca="false">+G62+H92</f>
        <v>50</v>
      </c>
      <c r="I62" s="76" t="n">
        <f aca="false">+H62+I92</f>
        <v>50</v>
      </c>
      <c r="J62" s="76" t="n">
        <f aca="false">+I62+J92</f>
        <v>50</v>
      </c>
    </row>
    <row r="63" customFormat="false" ht="12.75" hidden="false" customHeight="false" outlineLevel="0" collapsed="false">
      <c r="E63" s="97"/>
      <c r="F63" s="76"/>
      <c r="G63" s="76"/>
      <c r="H63" s="76"/>
      <c r="I63" s="76"/>
      <c r="J63" s="76"/>
    </row>
    <row r="64" customFormat="false" ht="12.75" hidden="false" customHeight="false" outlineLevel="0" collapsed="false">
      <c r="B64" s="61" t="s">
        <v>371</v>
      </c>
      <c r="E64" s="97" t="n">
        <v>0</v>
      </c>
      <c r="F64" s="76" t="n">
        <f aca="false">+F111</f>
        <v>14.9612007762473</v>
      </c>
      <c r="G64" s="76" t="n">
        <f aca="false">+G111</f>
        <v>0</v>
      </c>
      <c r="H64" s="76" t="n">
        <f aca="false">+H111</f>
        <v>0</v>
      </c>
      <c r="I64" s="76" t="n">
        <f aca="false">+I111</f>
        <v>0</v>
      </c>
      <c r="J64" s="76" t="n">
        <f aca="false">+J111</f>
        <v>0</v>
      </c>
    </row>
    <row r="65" customFormat="false" ht="12.75" hidden="false" customHeight="false" outlineLevel="0" collapsed="false">
      <c r="B65" s="61" t="s">
        <v>335</v>
      </c>
      <c r="E65" s="76" t="n">
        <f aca="false">+E11</f>
        <v>2475</v>
      </c>
      <c r="F65" s="76" t="n">
        <f aca="false">+F121</f>
        <v>2450.25</v>
      </c>
      <c r="G65" s="76" t="n">
        <f aca="false">+G121</f>
        <v>2390.7439714355</v>
      </c>
      <c r="H65" s="76" t="n">
        <f aca="false">+H121</f>
        <v>2298.32409265012</v>
      </c>
      <c r="I65" s="76" t="n">
        <f aca="false">+I121</f>
        <v>2185.96440859747</v>
      </c>
      <c r="J65" s="76" t="n">
        <f aca="false">+J121</f>
        <v>2051.6281646953</v>
      </c>
    </row>
    <row r="66" customFormat="false" ht="12.75" hidden="false" customHeight="false" outlineLevel="0" collapsed="false">
      <c r="B66" s="61" t="s">
        <v>337</v>
      </c>
      <c r="E66" s="76" t="n">
        <f aca="false">+E12</f>
        <v>0</v>
      </c>
      <c r="F66" s="76" t="n">
        <f aca="false">+F132</f>
        <v>0</v>
      </c>
      <c r="G66" s="76" t="n">
        <f aca="false">+G132</f>
        <v>0</v>
      </c>
      <c r="H66" s="76" t="n">
        <f aca="false">+H132</f>
        <v>0</v>
      </c>
      <c r="I66" s="76" t="n">
        <f aca="false">+I132</f>
        <v>0</v>
      </c>
      <c r="J66" s="76" t="n">
        <f aca="false">+J132</f>
        <v>0</v>
      </c>
    </row>
    <row r="67" customFormat="false" ht="12.75" hidden="false" customHeight="false" outlineLevel="0" collapsed="false">
      <c r="B67" s="81" t="s">
        <v>372</v>
      </c>
      <c r="C67" s="81"/>
      <c r="D67" s="81"/>
      <c r="E67" s="82" t="n">
        <f aca="false">SUM(E64:E66)</f>
        <v>2475</v>
      </c>
      <c r="F67" s="82" t="n">
        <f aca="false">SUM(F64:F66)</f>
        <v>2465.21120077625</v>
      </c>
      <c r="G67" s="82" t="n">
        <f aca="false">SUM(G64:G66)</f>
        <v>2390.7439714355</v>
      </c>
      <c r="H67" s="82" t="n">
        <f aca="false">SUM(H64:H66)</f>
        <v>2298.32409265012</v>
      </c>
      <c r="I67" s="82" t="n">
        <f aca="false">SUM(I64:I66)</f>
        <v>2185.96440859747</v>
      </c>
      <c r="J67" s="82" t="n">
        <f aca="false">SUM(J64:J66)</f>
        <v>2051.6281646953</v>
      </c>
    </row>
    <row r="68" customFormat="false" ht="12.75" hidden="false" customHeight="false" outlineLevel="0" collapsed="false">
      <c r="B68" s="61" t="s">
        <v>28</v>
      </c>
      <c r="E68" s="76" t="n">
        <f aca="false">SUM(E13:E14)-J12</f>
        <v>2330.6875</v>
      </c>
      <c r="F68" s="76" t="n">
        <f aca="false">+E68+F40</f>
        <v>2389.53692411295</v>
      </c>
      <c r="G68" s="76" t="n">
        <f aca="false">+F68+G40</f>
        <v>2463.34641077783</v>
      </c>
      <c r="H68" s="76" t="n">
        <f aca="false">+G68+H40</f>
        <v>2555.40426094402</v>
      </c>
      <c r="I68" s="76" t="n">
        <f aca="false">+H68+I40</f>
        <v>2667.71241613701</v>
      </c>
      <c r="J68" s="76" t="n">
        <f aca="false">+I68+J40</f>
        <v>2802.323155927</v>
      </c>
    </row>
    <row r="69" customFormat="false" ht="12.75" hidden="false" customHeight="false" outlineLevel="0" collapsed="false">
      <c r="B69" s="81" t="s">
        <v>373</v>
      </c>
      <c r="C69" s="81"/>
      <c r="D69" s="81"/>
      <c r="E69" s="82" t="n">
        <f aca="false">SUM(E67:E68)</f>
        <v>4805.6875</v>
      </c>
      <c r="F69" s="82" t="n">
        <f aca="false">SUM(F67:F68)</f>
        <v>4854.7481248892</v>
      </c>
      <c r="G69" s="82" t="n">
        <f aca="false">SUM(G67:G68)</f>
        <v>4854.09038221333</v>
      </c>
      <c r="H69" s="82" t="n">
        <f aca="false">SUM(H67:H68)</f>
        <v>4853.72835359414</v>
      </c>
      <c r="I69" s="82" t="n">
        <f aca="false">SUM(I67:I68)</f>
        <v>4853.67682473447</v>
      </c>
      <c r="J69" s="82" t="n">
        <f aca="false">SUM(J67:J68)</f>
        <v>4853.9513206223</v>
      </c>
    </row>
    <row r="71" customFormat="false" ht="12.75" hidden="false" customHeight="false" outlineLevel="0" collapsed="false">
      <c r="B71" s="61" t="s">
        <v>374</v>
      </c>
      <c r="E71" s="98" t="n">
        <f aca="false">+E65/$E$31</f>
        <v>6.1875</v>
      </c>
      <c r="F71" s="98" t="n">
        <f aca="false">+F65/$E$31</f>
        <v>6.125625</v>
      </c>
      <c r="G71" s="98" t="n">
        <f aca="false">+G65/$E$31</f>
        <v>5.97685992858875</v>
      </c>
      <c r="H71" s="98" t="n">
        <f aca="false">+H65/$E$31</f>
        <v>5.74581023162529</v>
      </c>
      <c r="I71" s="98" t="n">
        <f aca="false">+I65/$E$31</f>
        <v>5.46491102149367</v>
      </c>
      <c r="J71" s="98" t="n">
        <f aca="false">+J65/$E$31</f>
        <v>5.12907041173824</v>
      </c>
    </row>
    <row r="72" customFormat="false" ht="12.75" hidden="false" customHeight="false" outlineLevel="0" collapsed="false">
      <c r="B72" s="61" t="s">
        <v>375</v>
      </c>
      <c r="E72" s="98" t="n">
        <f aca="false">+E66/$E$31</f>
        <v>0</v>
      </c>
      <c r="F72" s="98" t="n">
        <f aca="false">+F66/$E$31</f>
        <v>0</v>
      </c>
      <c r="G72" s="98" t="n">
        <f aca="false">+G66/$E$31</f>
        <v>0</v>
      </c>
      <c r="H72" s="98" t="n">
        <f aca="false">+H66/$E$31</f>
        <v>0</v>
      </c>
      <c r="I72" s="98" t="n">
        <f aca="false">+I66/$E$31</f>
        <v>0</v>
      </c>
      <c r="J72" s="98" t="n">
        <f aca="false">+J66/$E$31</f>
        <v>0</v>
      </c>
    </row>
    <row r="73" customFormat="false" ht="12.75" hidden="false" customHeight="false" outlineLevel="0" collapsed="false">
      <c r="B73" s="61" t="s">
        <v>376</v>
      </c>
      <c r="E73" s="98" t="n">
        <f aca="false">+E67/$E$31</f>
        <v>6.1875</v>
      </c>
      <c r="F73" s="98" t="n">
        <f aca="false">+F67/$E$31</f>
        <v>6.16302800194062</v>
      </c>
      <c r="G73" s="98" t="n">
        <f aca="false">+G67/$E$31</f>
        <v>5.97685992858875</v>
      </c>
      <c r="H73" s="98" t="n">
        <f aca="false">+H67/$E$31</f>
        <v>5.74581023162529</v>
      </c>
      <c r="I73" s="98" t="n">
        <f aca="false">+I67/$E$31</f>
        <v>5.46491102149367</v>
      </c>
      <c r="J73" s="98" t="n">
        <f aca="false">+J67/$E$31</f>
        <v>5.12907041173824</v>
      </c>
    </row>
    <row r="74" customFormat="false" ht="12.75" hidden="false" customHeight="false" outlineLevel="0" collapsed="false">
      <c r="B74" s="61" t="s">
        <v>377</v>
      </c>
      <c r="E74" s="99" t="n">
        <f aca="false">+E67/E69</f>
        <v>0.515014761155402</v>
      </c>
      <c r="F74" s="99" t="n">
        <f aca="false">+F67/F69</f>
        <v>0.507793841690296</v>
      </c>
      <c r="G74" s="99" t="n">
        <f aca="false">+G67/G69</f>
        <v>0.492521519623083</v>
      </c>
      <c r="H74" s="99" t="n">
        <f aca="false">+H67/H69</f>
        <v>0.473517248024033</v>
      </c>
      <c r="I74" s="99" t="n">
        <f aca="false">+I67/I69</f>
        <v>0.450372879681179</v>
      </c>
      <c r="J74" s="99" t="n">
        <f aca="false">+J67/J69</f>
        <v>0.422671763513333</v>
      </c>
    </row>
    <row r="76" customFormat="false" ht="12.75" hidden="false" customHeight="false" outlineLevel="0" collapsed="false">
      <c r="A76" s="61" t="s">
        <v>348</v>
      </c>
      <c r="B76" s="85" t="s">
        <v>378</v>
      </c>
      <c r="C76" s="85"/>
      <c r="D76" s="85"/>
      <c r="E76" s="85" t="n">
        <v>2013</v>
      </c>
      <c r="F76" s="85" t="n">
        <f aca="false">E76+1</f>
        <v>2014</v>
      </c>
      <c r="G76" s="85" t="n">
        <f aca="false">F76+1</f>
        <v>2015</v>
      </c>
      <c r="H76" s="85" t="n">
        <f aca="false">G76+1</f>
        <v>2016</v>
      </c>
      <c r="I76" s="85" t="n">
        <f aca="false">H76+1</f>
        <v>2017</v>
      </c>
      <c r="J76" s="85" t="n">
        <f aca="false">I76+1</f>
        <v>2018</v>
      </c>
    </row>
    <row r="77" customFormat="false" ht="12.75" hidden="false" customHeight="false" outlineLevel="0" collapsed="false">
      <c r="B77" s="61" t="s">
        <v>141</v>
      </c>
      <c r="F77" s="75" t="n">
        <f aca="false">+F40</f>
        <v>58.8494241129482</v>
      </c>
      <c r="G77" s="75" t="n">
        <f aca="false">+G40</f>
        <v>73.8094866648779</v>
      </c>
      <c r="H77" s="75" t="n">
        <f aca="false">+H40</f>
        <v>92.0578501661979</v>
      </c>
      <c r="I77" s="75" t="n">
        <f aca="false">+I40</f>
        <v>112.308155192982</v>
      </c>
      <c r="J77" s="75" t="n">
        <f aca="false">+J40</f>
        <v>134.610739789993</v>
      </c>
    </row>
    <row r="78" customFormat="false" ht="12.75" hidden="false" customHeight="false" outlineLevel="0" collapsed="false">
      <c r="B78" s="61" t="s">
        <v>142</v>
      </c>
      <c r="F78" s="75" t="n">
        <f aca="false">+-F33</f>
        <v>109.591244039879</v>
      </c>
      <c r="G78" s="75" t="n">
        <f aca="false">+-G33</f>
        <v>113.687472908539</v>
      </c>
      <c r="H78" s="75" t="n">
        <f aca="false">+-H33</f>
        <v>117.988513220633</v>
      </c>
      <c r="I78" s="75" t="n">
        <f aca="false">+-I33</f>
        <v>122.504605548331</v>
      </c>
      <c r="J78" s="75" t="n">
        <f aca="false">+-J33</f>
        <v>127.246502492414</v>
      </c>
    </row>
    <row r="79" customFormat="false" ht="12.75" hidden="false" customHeight="false" outlineLevel="0" collapsed="false">
      <c r="B79" s="61" t="s">
        <v>379</v>
      </c>
      <c r="F79" s="75" t="n">
        <f aca="false">+F43</f>
        <v>-6.91666666666667</v>
      </c>
      <c r="G79" s="75" t="n">
        <f aca="false">+G43</f>
        <v>-6.91666666666667</v>
      </c>
      <c r="H79" s="75" t="n">
        <f aca="false">+H43</f>
        <v>-6.91666666666667</v>
      </c>
      <c r="I79" s="75" t="n">
        <f aca="false">+I43</f>
        <v>-6.91666666666667</v>
      </c>
      <c r="J79" s="75" t="n">
        <f aca="false">+J43</f>
        <v>-6.91666666666667</v>
      </c>
    </row>
    <row r="80" customFormat="false" ht="12.75" hidden="false" customHeight="false" outlineLevel="0" collapsed="false">
      <c r="B80" s="61" t="s">
        <v>380</v>
      </c>
      <c r="F80" s="75" t="n">
        <f aca="false">-+F139</f>
        <v>0</v>
      </c>
      <c r="G80" s="75" t="n">
        <f aca="false">-+G139</f>
        <v>0</v>
      </c>
      <c r="H80" s="75" t="n">
        <f aca="false">-+H139</f>
        <v>0</v>
      </c>
      <c r="I80" s="75" t="n">
        <f aca="false">-+I139</f>
        <v>0</v>
      </c>
      <c r="J80" s="75" t="n">
        <f aca="false">-+J139</f>
        <v>0</v>
      </c>
    </row>
    <row r="81" customFormat="false" ht="12.75" hidden="false" customHeight="false" outlineLevel="0" collapsed="false">
      <c r="B81" s="61" t="s">
        <v>381</v>
      </c>
      <c r="F81" s="75" t="n">
        <f aca="false">+-F37</f>
        <v>7.95535714285714</v>
      </c>
      <c r="G81" s="75" t="n">
        <f aca="false">+-G37</f>
        <v>7.95535714285714</v>
      </c>
      <c r="H81" s="75" t="n">
        <f aca="false">+-H37</f>
        <v>7.95535714285714</v>
      </c>
      <c r="I81" s="75" t="n">
        <f aca="false">+-I37</f>
        <v>7.95535714285714</v>
      </c>
      <c r="J81" s="75" t="n">
        <f aca="false">+-J37</f>
        <v>7.95535714285714</v>
      </c>
    </row>
    <row r="82" customFormat="false" ht="12.75" hidden="false" customHeight="false" outlineLevel="0" collapsed="false">
      <c r="B82" s="61" t="s">
        <v>382</v>
      </c>
      <c r="F82" s="75" t="n">
        <f aca="false">+-F54</f>
        <v>-22.0175641733617</v>
      </c>
      <c r="G82" s="75" t="n">
        <f aca="false">+-G54</f>
        <v>-23.1184423820297</v>
      </c>
      <c r="H82" s="75" t="n">
        <f aca="false">+-H54</f>
        <v>-24.2743645011312</v>
      </c>
      <c r="I82" s="75" t="n">
        <f aca="false">+-I54</f>
        <v>-25.4880827261877</v>
      </c>
      <c r="J82" s="75" t="n">
        <f aca="false">+-J54</f>
        <v>-26.7624868624971</v>
      </c>
    </row>
    <row r="83" customFormat="false" ht="12.75" hidden="false" customHeight="false" outlineLevel="0" collapsed="false">
      <c r="B83" s="81" t="s">
        <v>383</v>
      </c>
      <c r="C83" s="81"/>
      <c r="D83" s="81"/>
      <c r="E83" s="81"/>
      <c r="F83" s="82" t="n">
        <f aca="false">SUM(F77:F82)</f>
        <v>147.461794455656</v>
      </c>
      <c r="G83" s="82" t="n">
        <f aca="false">SUM(G77:G82)</f>
        <v>165.417207667578</v>
      </c>
      <c r="H83" s="82" t="n">
        <f aca="false">SUM(H77:H82)</f>
        <v>186.81068936189</v>
      </c>
      <c r="I83" s="82" t="n">
        <f aca="false">SUM(I77:I82)</f>
        <v>210.363368491316</v>
      </c>
      <c r="J83" s="82" t="n">
        <f aca="false">SUM(J77:J82)</f>
        <v>236.133445896101</v>
      </c>
    </row>
    <row r="84" customFormat="false" ht="12.75" hidden="false" customHeight="false" outlineLevel="0" collapsed="false">
      <c r="F84" s="75"/>
      <c r="G84" s="75"/>
      <c r="H84" s="75"/>
      <c r="I84" s="75"/>
      <c r="J84" s="75"/>
    </row>
    <row r="85" customFormat="false" ht="12.75" hidden="false" customHeight="false" outlineLevel="0" collapsed="false">
      <c r="B85" s="61" t="s">
        <v>359</v>
      </c>
      <c r="F85" s="75" t="n">
        <f aca="false">+-F44</f>
        <v>-87.6729952319029</v>
      </c>
      <c r="G85" s="75" t="n">
        <f aca="false">+-G44</f>
        <v>-90.9499783268314</v>
      </c>
      <c r="H85" s="75" t="n">
        <f aca="false">+-H44</f>
        <v>-94.3908105765063</v>
      </c>
      <c r="I85" s="75" t="n">
        <f aca="false">+-I44</f>
        <v>-98.003684438665</v>
      </c>
      <c r="J85" s="75" t="n">
        <f aca="false">+-J44</f>
        <v>-101.797201993932</v>
      </c>
    </row>
    <row r="86" customFormat="false" ht="12.75" hidden="false" customHeight="false" outlineLevel="0" collapsed="false">
      <c r="B86" s="81" t="s">
        <v>384</v>
      </c>
      <c r="C86" s="81"/>
      <c r="D86" s="81"/>
      <c r="E86" s="81"/>
      <c r="F86" s="82" t="n">
        <f aca="false">SUM(F85)</f>
        <v>-87.6729952319029</v>
      </c>
      <c r="G86" s="82" t="n">
        <f aca="false">SUM(G85)</f>
        <v>-90.9499783268314</v>
      </c>
      <c r="H86" s="82" t="n">
        <f aca="false">SUM(H85)</f>
        <v>-94.3908105765063</v>
      </c>
      <c r="I86" s="82" t="n">
        <f aca="false">SUM(I85)</f>
        <v>-98.003684438665</v>
      </c>
      <c r="J86" s="82" t="n">
        <f aca="false">SUM(J85)</f>
        <v>-101.797201993932</v>
      </c>
    </row>
    <row r="87" customFormat="false" ht="12.75" hidden="false" customHeight="false" outlineLevel="0" collapsed="false">
      <c r="F87" s="75"/>
      <c r="G87" s="75"/>
      <c r="H87" s="75"/>
      <c r="I87" s="75"/>
      <c r="J87" s="75"/>
    </row>
    <row r="88" customFormat="false" ht="12.75" hidden="false" customHeight="false" outlineLevel="0" collapsed="false">
      <c r="B88" s="61" t="s">
        <v>385</v>
      </c>
      <c r="F88" s="75" t="n">
        <f aca="false">+F119</f>
        <v>-24.75</v>
      </c>
      <c r="G88" s="75" t="n">
        <f aca="false">+G119</f>
        <v>-24.75</v>
      </c>
      <c r="H88" s="75" t="n">
        <f aca="false">+H119</f>
        <v>-24.75</v>
      </c>
      <c r="I88" s="75" t="n">
        <f aca="false">+I119</f>
        <v>-24.75</v>
      </c>
      <c r="J88" s="75" t="n">
        <f aca="false">+J119</f>
        <v>-24.75</v>
      </c>
    </row>
    <row r="89" customFormat="false" ht="12.75" hidden="false" customHeight="false" outlineLevel="0" collapsed="false">
      <c r="B89" s="61" t="s">
        <v>386</v>
      </c>
      <c r="F89" s="75" t="n">
        <f aca="false">+SUM(F100,F102,F104)</f>
        <v>14.9612007762473</v>
      </c>
      <c r="G89" s="75" t="n">
        <f aca="false">+SUM(G100,G102,G104)</f>
        <v>-49.7172293407465</v>
      </c>
      <c r="H89" s="75" t="n">
        <f aca="false">+SUM(H100,H102,H104)</f>
        <v>-67.6698787853837</v>
      </c>
      <c r="I89" s="75" t="n">
        <f aca="false">+SUM(I100,I102,I104)</f>
        <v>-87.6096840526511</v>
      </c>
      <c r="J89" s="75" t="n">
        <f aca="false">+SUM(J100,J102,J104)</f>
        <v>-109.58624390217</v>
      </c>
    </row>
    <row r="90" customFormat="false" ht="12.75" hidden="false" customHeight="false" outlineLevel="0" collapsed="false">
      <c r="B90" s="81" t="s">
        <v>387</v>
      </c>
      <c r="C90" s="81"/>
      <c r="D90" s="81"/>
      <c r="E90" s="81"/>
      <c r="F90" s="82" t="n">
        <f aca="false">SUM(F88:F89)</f>
        <v>-9.7887992237527</v>
      </c>
      <c r="G90" s="82" t="n">
        <f aca="false">SUM(G88:G89)</f>
        <v>-74.4672293407465</v>
      </c>
      <c r="H90" s="82" t="n">
        <f aca="false">SUM(H88:H89)</f>
        <v>-92.4198787853837</v>
      </c>
      <c r="I90" s="82" t="n">
        <f aca="false">SUM(I88:I89)</f>
        <v>-112.359684052651</v>
      </c>
      <c r="J90" s="82" t="n">
        <f aca="false">SUM(J88:J89)</f>
        <v>-134.33624390217</v>
      </c>
    </row>
    <row r="91" customFormat="false" ht="12.75" hidden="false" customHeight="false" outlineLevel="0" collapsed="false">
      <c r="F91" s="75"/>
      <c r="G91" s="75"/>
      <c r="H91" s="75"/>
      <c r="I91" s="75"/>
      <c r="J91" s="75"/>
    </row>
    <row r="92" customFormat="false" ht="12.75" hidden="false" customHeight="false" outlineLevel="0" collapsed="false">
      <c r="B92" s="61" t="s">
        <v>388</v>
      </c>
      <c r="F92" s="75" t="n">
        <f aca="false">+SUM(F83,F86,F90)</f>
        <v>50</v>
      </c>
      <c r="G92" s="75" t="n">
        <f aca="false">+SUM(G83,G86,G90)</f>
        <v>0</v>
      </c>
      <c r="H92" s="75" t="n">
        <f aca="false">+SUM(H83,H86,H90)</f>
        <v>0</v>
      </c>
      <c r="I92" s="75" t="n">
        <f aca="false">+SUM(I83,I86,I90)</f>
        <v>0</v>
      </c>
      <c r="J92" s="75" t="n">
        <f aca="false">+SUM(J83,J86,J90)</f>
        <v>0</v>
      </c>
    </row>
    <row r="94" customFormat="false" ht="12.75" hidden="false" customHeight="false" outlineLevel="0" collapsed="false">
      <c r="A94" s="61" t="s">
        <v>348</v>
      </c>
      <c r="B94" s="85" t="s">
        <v>389</v>
      </c>
      <c r="C94" s="85"/>
      <c r="D94" s="85"/>
      <c r="E94" s="85" t="n">
        <v>2013</v>
      </c>
      <c r="F94" s="85" t="n">
        <f aca="false">E94+1</f>
        <v>2014</v>
      </c>
      <c r="G94" s="85" t="n">
        <f aca="false">F94+1</f>
        <v>2015</v>
      </c>
      <c r="H94" s="85" t="n">
        <f aca="false">G94+1</f>
        <v>2016</v>
      </c>
      <c r="I94" s="85" t="n">
        <f aca="false">H94+1</f>
        <v>2017</v>
      </c>
      <c r="J94" s="85" t="n">
        <f aca="false">I94+1</f>
        <v>2018</v>
      </c>
    </row>
    <row r="95" customFormat="false" ht="12.75" hidden="false" customHeight="false" outlineLevel="0" collapsed="false">
      <c r="B95" s="61" t="s">
        <v>390</v>
      </c>
      <c r="E95" s="75"/>
      <c r="F95" s="75" t="n">
        <f aca="false">+E62</f>
        <v>0</v>
      </c>
      <c r="G95" s="75" t="n">
        <f aca="false">+F62</f>
        <v>50</v>
      </c>
      <c r="H95" s="75" t="n">
        <f aca="false">+G62</f>
        <v>50</v>
      </c>
      <c r="I95" s="75" t="n">
        <f aca="false">+H62</f>
        <v>50</v>
      </c>
      <c r="J95" s="75" t="n">
        <f aca="false">+I62</f>
        <v>50</v>
      </c>
    </row>
    <row r="96" customFormat="false" ht="12.75" hidden="false" customHeight="false" outlineLevel="0" collapsed="false">
      <c r="B96" s="61" t="s">
        <v>391</v>
      </c>
      <c r="E96" s="75"/>
      <c r="F96" s="97" t="n">
        <v>-50</v>
      </c>
      <c r="G96" s="97" t="n">
        <v>-50</v>
      </c>
      <c r="H96" s="97" t="n">
        <v>-50</v>
      </c>
      <c r="I96" s="97" t="n">
        <v>-50</v>
      </c>
      <c r="J96" s="97" t="n">
        <v>-50</v>
      </c>
    </row>
    <row r="97" customFormat="false" ht="12.75" hidden="false" customHeight="false" outlineLevel="0" collapsed="false">
      <c r="B97" s="61" t="s">
        <v>392</v>
      </c>
      <c r="E97" s="75"/>
      <c r="F97" s="75" t="n">
        <f aca="false">+F83+F86</f>
        <v>59.7887992237527</v>
      </c>
      <c r="G97" s="75" t="n">
        <f aca="false">+G83+G86</f>
        <v>74.4672293407465</v>
      </c>
      <c r="H97" s="75" t="n">
        <f aca="false">+H83+H86</f>
        <v>92.4198787853837</v>
      </c>
      <c r="I97" s="75" t="n">
        <f aca="false">+I83+I86</f>
        <v>112.359684052651</v>
      </c>
      <c r="J97" s="75" t="n">
        <f aca="false">+J83+J86</f>
        <v>134.33624390217</v>
      </c>
    </row>
    <row r="98" customFormat="false" ht="12.75" hidden="false" customHeight="false" outlineLevel="0" collapsed="false">
      <c r="B98" s="61" t="s">
        <v>393</v>
      </c>
      <c r="E98" s="75"/>
      <c r="F98" s="75" t="n">
        <f aca="false">+F88</f>
        <v>-24.75</v>
      </c>
      <c r="G98" s="75" t="n">
        <f aca="false">+G88</f>
        <v>-24.75</v>
      </c>
      <c r="H98" s="75" t="n">
        <f aca="false">+H88</f>
        <v>-24.75</v>
      </c>
      <c r="I98" s="75" t="n">
        <f aca="false">+I88</f>
        <v>-24.75</v>
      </c>
      <c r="J98" s="75" t="n">
        <f aca="false">+J88</f>
        <v>-24.75</v>
      </c>
    </row>
    <row r="99" customFormat="false" ht="12.75" hidden="false" customHeight="false" outlineLevel="0" collapsed="false">
      <c r="B99" s="81" t="s">
        <v>394</v>
      </c>
      <c r="C99" s="81"/>
      <c r="D99" s="81"/>
      <c r="E99" s="82"/>
      <c r="F99" s="82" t="n">
        <f aca="false">SUM(F95:F98)</f>
        <v>-14.9612007762473</v>
      </c>
      <c r="G99" s="82" t="n">
        <f aca="false">SUM(G95:G98)</f>
        <v>49.7172293407465</v>
      </c>
      <c r="H99" s="82" t="n">
        <f aca="false">SUM(H95:H98)</f>
        <v>67.6698787853837</v>
      </c>
      <c r="I99" s="82" t="n">
        <f aca="false">SUM(I95:I98)</f>
        <v>87.6096840526511</v>
      </c>
      <c r="J99" s="82" t="n">
        <f aca="false">SUM(J95:J98)</f>
        <v>109.58624390217</v>
      </c>
    </row>
    <row r="100" customFormat="false" ht="12.75" hidden="false" customHeight="false" outlineLevel="0" collapsed="false">
      <c r="B100" s="61" t="s">
        <v>395</v>
      </c>
      <c r="E100" s="75"/>
      <c r="F100" s="75" t="n">
        <f aca="false">+SUM(F109:F110)</f>
        <v>14.9612007762473</v>
      </c>
      <c r="G100" s="75" t="n">
        <f aca="false">+SUM(G109:G110)</f>
        <v>-14.9612007762473</v>
      </c>
      <c r="H100" s="75" t="n">
        <f aca="false">+SUM(H109:H110)</f>
        <v>0</v>
      </c>
      <c r="I100" s="75" t="n">
        <f aca="false">+SUM(I109:I110)</f>
        <v>0</v>
      </c>
      <c r="J100" s="75" t="n">
        <f aca="false">+SUM(J109:J110)</f>
        <v>0</v>
      </c>
    </row>
    <row r="101" customFormat="false" ht="12.75" hidden="false" customHeight="false" outlineLevel="0" collapsed="false">
      <c r="B101" s="81" t="s">
        <v>396</v>
      </c>
      <c r="C101" s="81"/>
      <c r="D101" s="81"/>
      <c r="E101" s="82"/>
      <c r="F101" s="82" t="n">
        <f aca="false">SUM(F99:F100)</f>
        <v>0</v>
      </c>
      <c r="G101" s="82" t="n">
        <f aca="false">SUM(G99:G100)</f>
        <v>34.7560285644992</v>
      </c>
      <c r="H101" s="82" t="n">
        <f aca="false">SUM(H99:H100)</f>
        <v>67.6698787853837</v>
      </c>
      <c r="I101" s="82" t="n">
        <f aca="false">SUM(I99:I100)</f>
        <v>87.6096840526511</v>
      </c>
      <c r="J101" s="82" t="n">
        <f aca="false">SUM(J99:J100)</f>
        <v>109.58624390217</v>
      </c>
    </row>
    <row r="102" customFormat="false" ht="12.75" hidden="false" customHeight="false" outlineLevel="0" collapsed="false">
      <c r="B102" s="61" t="s">
        <v>397</v>
      </c>
      <c r="E102" s="75"/>
      <c r="F102" s="75" t="n">
        <f aca="false">+F120</f>
        <v>-0</v>
      </c>
      <c r="G102" s="75" t="n">
        <f aca="false">+G120</f>
        <v>-34.7560285644992</v>
      </c>
      <c r="H102" s="75" t="n">
        <f aca="false">+H120</f>
        <v>-67.6698787853837</v>
      </c>
      <c r="I102" s="75" t="n">
        <f aca="false">+I120</f>
        <v>-87.6096840526511</v>
      </c>
      <c r="J102" s="75" t="n">
        <f aca="false">+J120</f>
        <v>-109.58624390217</v>
      </c>
    </row>
    <row r="103" customFormat="false" ht="12.75" hidden="false" customHeight="false" outlineLevel="0" collapsed="false">
      <c r="B103" s="81" t="s">
        <v>398</v>
      </c>
      <c r="C103" s="81"/>
      <c r="D103" s="81"/>
      <c r="E103" s="82"/>
      <c r="F103" s="82" t="n">
        <f aca="false">SUM(F101:F102)</f>
        <v>0</v>
      </c>
      <c r="G103" s="82" t="n">
        <f aca="false">SUM(G101:G102)</f>
        <v>0</v>
      </c>
      <c r="H103" s="82" t="n">
        <f aca="false">SUM(H101:H102)</f>
        <v>0</v>
      </c>
      <c r="I103" s="82" t="n">
        <f aca="false">SUM(I101:I102)</f>
        <v>0</v>
      </c>
      <c r="J103" s="82" t="n">
        <f aca="false">SUM(J101:J102)</f>
        <v>0</v>
      </c>
    </row>
    <row r="104" customFormat="false" ht="12.75" hidden="false" customHeight="false" outlineLevel="0" collapsed="false">
      <c r="B104" s="61" t="s">
        <v>397</v>
      </c>
      <c r="E104" s="75"/>
      <c r="F104" s="75" t="n">
        <f aca="false">+F131</f>
        <v>0</v>
      </c>
      <c r="G104" s="75" t="n">
        <f aca="false">+G131</f>
        <v>0</v>
      </c>
      <c r="H104" s="75" t="n">
        <f aca="false">+H131</f>
        <v>0</v>
      </c>
      <c r="I104" s="75" t="n">
        <f aca="false">+I131</f>
        <v>0</v>
      </c>
      <c r="J104" s="75" t="n">
        <f aca="false">+J131</f>
        <v>0</v>
      </c>
    </row>
    <row r="105" customFormat="false" ht="12.75" hidden="false" customHeight="false" outlineLevel="0" collapsed="false">
      <c r="B105" s="81" t="s">
        <v>399</v>
      </c>
      <c r="C105" s="81"/>
      <c r="D105" s="81"/>
      <c r="E105" s="82"/>
      <c r="F105" s="82" t="n">
        <f aca="false">SUM(F103:F104)</f>
        <v>0</v>
      </c>
      <c r="G105" s="82" t="n">
        <f aca="false">SUM(G103:G104)</f>
        <v>0</v>
      </c>
      <c r="H105" s="82" t="n">
        <f aca="false">SUM(H103:H104)</f>
        <v>0</v>
      </c>
      <c r="I105" s="82" t="n">
        <f aca="false">SUM(I103:I104)</f>
        <v>0</v>
      </c>
      <c r="J105" s="82" t="n">
        <f aca="false">SUM(J103:J104)</f>
        <v>0</v>
      </c>
    </row>
    <row r="106" customFormat="false" ht="12.75" hidden="false" customHeight="false" outlineLevel="0" collapsed="false">
      <c r="E106" s="75"/>
      <c r="F106" s="75"/>
      <c r="G106" s="75"/>
      <c r="H106" s="75"/>
      <c r="I106" s="75"/>
      <c r="J106" s="75"/>
    </row>
    <row r="107" customFormat="false" ht="12.75" hidden="false" customHeight="false" outlineLevel="0" collapsed="false">
      <c r="B107" s="93" t="s">
        <v>371</v>
      </c>
      <c r="E107" s="75"/>
      <c r="F107" s="75"/>
      <c r="G107" s="75"/>
      <c r="H107" s="75"/>
      <c r="I107" s="75"/>
      <c r="J107" s="75"/>
    </row>
    <row r="108" customFormat="false" ht="12.75" hidden="false" customHeight="false" outlineLevel="0" collapsed="false">
      <c r="B108" s="61" t="s">
        <v>400</v>
      </c>
      <c r="E108" s="75"/>
      <c r="F108" s="75" t="n">
        <f aca="false">+E111</f>
        <v>0</v>
      </c>
      <c r="G108" s="75" t="n">
        <f aca="false">+F111</f>
        <v>14.9612007762473</v>
      </c>
      <c r="H108" s="75" t="n">
        <f aca="false">+G111</f>
        <v>0</v>
      </c>
      <c r="I108" s="75" t="n">
        <f aca="false">+H111</f>
        <v>0</v>
      </c>
      <c r="J108" s="75" t="n">
        <f aca="false">+I111</f>
        <v>0</v>
      </c>
    </row>
    <row r="109" customFormat="false" ht="12.75" hidden="false" customHeight="false" outlineLevel="0" collapsed="false">
      <c r="B109" s="61" t="s">
        <v>401</v>
      </c>
      <c r="E109" s="75"/>
      <c r="F109" s="75" t="n">
        <f aca="false">+-MIN(F99,0)</f>
        <v>14.9612007762473</v>
      </c>
      <c r="G109" s="75" t="n">
        <f aca="false">+-MIN(G99,0)</f>
        <v>-0</v>
      </c>
      <c r="H109" s="75" t="n">
        <f aca="false">+-MIN(H99,0)</f>
        <v>-0</v>
      </c>
      <c r="I109" s="75" t="n">
        <f aca="false">+-MIN(I99,0)</f>
        <v>-0</v>
      </c>
      <c r="J109" s="75" t="n">
        <f aca="false">+-MIN(J99,0)</f>
        <v>-0</v>
      </c>
    </row>
    <row r="110" customFormat="false" ht="12.75" hidden="false" customHeight="false" outlineLevel="0" collapsed="false">
      <c r="B110" s="61" t="s">
        <v>402</v>
      </c>
      <c r="E110" s="75"/>
      <c r="F110" s="75" t="n">
        <f aca="false">+IF(F108&gt;0,-MIN(F108,MAX(F99,0)),0)</f>
        <v>0</v>
      </c>
      <c r="G110" s="75" t="n">
        <f aca="false">+IF(G108&gt;0,-MIN(G108,MAX(G99,0)),0)</f>
        <v>-14.9612007762473</v>
      </c>
      <c r="H110" s="75" t="n">
        <f aca="false">+IF(H108&gt;0,-MIN(H108,MAX(H99,0)),0)</f>
        <v>0</v>
      </c>
      <c r="I110" s="75" t="n">
        <f aca="false">+IF(I108&gt;0,-MIN(I108,MAX(I99,0)),0)</f>
        <v>0</v>
      </c>
      <c r="J110" s="75" t="n">
        <f aca="false">+IF(J108&gt;0,-MIN(J108,MAX(J99,0)),0)</f>
        <v>0</v>
      </c>
    </row>
    <row r="111" customFormat="false" ht="12.75" hidden="false" customHeight="false" outlineLevel="0" collapsed="false">
      <c r="B111" s="81" t="s">
        <v>403</v>
      </c>
      <c r="C111" s="81"/>
      <c r="D111" s="81"/>
      <c r="E111" s="100" t="n">
        <v>0</v>
      </c>
      <c r="F111" s="82" t="n">
        <f aca="false">SUM(F108:F110)</f>
        <v>14.9612007762473</v>
      </c>
      <c r="G111" s="82" t="n">
        <f aca="false">SUM(G108:G110)</f>
        <v>0</v>
      </c>
      <c r="H111" s="82" t="n">
        <f aca="false">SUM(H108:H110)</f>
        <v>0</v>
      </c>
      <c r="I111" s="82" t="n">
        <f aca="false">SUM(I108:I110)</f>
        <v>0</v>
      </c>
      <c r="J111" s="82" t="n">
        <f aca="false">SUM(J108:J110)</f>
        <v>0</v>
      </c>
    </row>
    <row r="112" customFormat="false" ht="12.75" hidden="false" customHeight="false" outlineLevel="0" collapsed="false">
      <c r="E112" s="75"/>
      <c r="F112" s="75"/>
      <c r="G112" s="75"/>
      <c r="H112" s="75"/>
      <c r="I112" s="75"/>
      <c r="J112" s="75"/>
    </row>
    <row r="113" customFormat="false" ht="12.75" hidden="false" customHeight="false" outlineLevel="0" collapsed="false">
      <c r="B113" s="61" t="s">
        <v>404</v>
      </c>
      <c r="E113" s="75"/>
      <c r="F113" s="75" t="n">
        <f aca="false">+E111</f>
        <v>0</v>
      </c>
      <c r="G113" s="75" t="n">
        <f aca="false">+F111</f>
        <v>14.9612007762473</v>
      </c>
      <c r="H113" s="75" t="n">
        <f aca="false">+G111</f>
        <v>0</v>
      </c>
      <c r="I113" s="75" t="n">
        <f aca="false">+H111</f>
        <v>0</v>
      </c>
      <c r="J113" s="75" t="n">
        <f aca="false">+I111</f>
        <v>0</v>
      </c>
    </row>
    <row r="114" customFormat="false" ht="12.75" hidden="false" customHeight="false" outlineLevel="0" collapsed="false">
      <c r="B114" s="61" t="s">
        <v>405</v>
      </c>
      <c r="F114" s="69" t="n">
        <v>0.08</v>
      </c>
      <c r="G114" s="92" t="n">
        <f aca="false">+F114</f>
        <v>0.08</v>
      </c>
      <c r="H114" s="92" t="n">
        <f aca="false">+G114</f>
        <v>0.08</v>
      </c>
      <c r="I114" s="92" t="n">
        <f aca="false">+H114</f>
        <v>0.08</v>
      </c>
      <c r="J114" s="92" t="n">
        <f aca="false">+I114</f>
        <v>0.08</v>
      </c>
    </row>
    <row r="115" customFormat="false" ht="12.75" hidden="false" customHeight="false" outlineLevel="0" collapsed="false">
      <c r="B115" s="61" t="s">
        <v>406</v>
      </c>
      <c r="E115" s="75"/>
      <c r="F115" s="75" t="n">
        <f aca="false">+-F113*F114</f>
        <v>-0</v>
      </c>
      <c r="G115" s="75" t="n">
        <f aca="false">+-G113*G114</f>
        <v>-1.19689606209978</v>
      </c>
      <c r="H115" s="75" t="n">
        <f aca="false">+-H113*H114</f>
        <v>-0</v>
      </c>
      <c r="I115" s="75" t="n">
        <f aca="false">+-I113*I114</f>
        <v>-0</v>
      </c>
      <c r="J115" s="75" t="n">
        <f aca="false">+-J113*J114</f>
        <v>-0</v>
      </c>
    </row>
    <row r="116" customFormat="false" ht="12.75" hidden="false" customHeight="false" outlineLevel="0" collapsed="false">
      <c r="E116" s="75"/>
      <c r="F116" s="75"/>
      <c r="G116" s="75"/>
      <c r="H116" s="75"/>
      <c r="I116" s="75"/>
      <c r="J116" s="75"/>
    </row>
    <row r="117" customFormat="false" ht="12.75" hidden="false" customHeight="false" outlineLevel="0" collapsed="false">
      <c r="B117" s="93" t="s">
        <v>335</v>
      </c>
      <c r="E117" s="75"/>
      <c r="F117" s="75"/>
      <c r="G117" s="75"/>
      <c r="H117" s="75"/>
      <c r="I117" s="75"/>
      <c r="J117" s="75"/>
    </row>
    <row r="118" customFormat="false" ht="12.75" hidden="false" customHeight="false" outlineLevel="0" collapsed="false">
      <c r="B118" s="61" t="s">
        <v>400</v>
      </c>
      <c r="E118" s="75"/>
      <c r="F118" s="75" t="n">
        <f aca="false">+E121</f>
        <v>2475</v>
      </c>
      <c r="G118" s="75" t="n">
        <f aca="false">+F121</f>
        <v>2450.25</v>
      </c>
      <c r="H118" s="75" t="n">
        <f aca="false">+G121</f>
        <v>2390.7439714355</v>
      </c>
      <c r="I118" s="75" t="n">
        <f aca="false">+H121</f>
        <v>2298.32409265012</v>
      </c>
      <c r="J118" s="75" t="n">
        <f aca="false">+I121</f>
        <v>2185.96440859747</v>
      </c>
    </row>
    <row r="119" customFormat="false" ht="12.75" hidden="false" customHeight="false" outlineLevel="0" collapsed="false">
      <c r="B119" s="61" t="s">
        <v>407</v>
      </c>
      <c r="E119" s="75"/>
      <c r="F119" s="101" t="n">
        <f aca="false">-IF($E$121+F118*F126&gt;0,$E$121*F126,0)</f>
        <v>-24.75</v>
      </c>
      <c r="G119" s="101" t="n">
        <f aca="false">-IF($E$121+G118*G126&gt;0,$E$121*G126,0)</f>
        <v>-24.75</v>
      </c>
      <c r="H119" s="101" t="n">
        <f aca="false">-IF($E$121+H118*H126&gt;0,$E$121*H126,0)</f>
        <v>-24.75</v>
      </c>
      <c r="I119" s="101" t="n">
        <f aca="false">-IF($E$121+I118*I126&gt;0,$E$121*I126,0)</f>
        <v>-24.75</v>
      </c>
      <c r="J119" s="101" t="n">
        <f aca="false">-IF($E$121+J118*J126&gt;0,$E$121*J126,0)</f>
        <v>-24.75</v>
      </c>
    </row>
    <row r="120" customFormat="false" ht="12.75" hidden="false" customHeight="false" outlineLevel="0" collapsed="false">
      <c r="B120" s="61" t="s">
        <v>402</v>
      </c>
      <c r="E120" s="75"/>
      <c r="F120" s="75" t="n">
        <f aca="false">+-MIN(SUM(F118:F119),MAX(F101,0))</f>
        <v>-0</v>
      </c>
      <c r="G120" s="75" t="n">
        <f aca="false">+-MIN(SUM(G118:G119),MAX(G101,0))</f>
        <v>-34.7560285644992</v>
      </c>
      <c r="H120" s="75" t="n">
        <f aca="false">+-MIN(SUM(H118:H119),MAX(H101,0))</f>
        <v>-67.6698787853837</v>
      </c>
      <c r="I120" s="75" t="n">
        <f aca="false">+-MIN(SUM(I118:I119),MAX(I101,0))</f>
        <v>-87.6096840526511</v>
      </c>
      <c r="J120" s="75" t="n">
        <f aca="false">+-MIN(SUM(J118:J119),MAX(J101,0))</f>
        <v>-109.58624390217</v>
      </c>
    </row>
    <row r="121" customFormat="false" ht="12.75" hidden="false" customHeight="false" outlineLevel="0" collapsed="false">
      <c r="B121" s="81" t="s">
        <v>403</v>
      </c>
      <c r="C121" s="81"/>
      <c r="D121" s="81"/>
      <c r="E121" s="100" t="n">
        <f aca="false">+E11</f>
        <v>2475</v>
      </c>
      <c r="F121" s="82" t="n">
        <f aca="false">SUM(F118:F120)</f>
        <v>2450.25</v>
      </c>
      <c r="G121" s="82" t="n">
        <f aca="false">SUM(G118:G120)</f>
        <v>2390.7439714355</v>
      </c>
      <c r="H121" s="82" t="n">
        <f aca="false">SUM(H118:H120)</f>
        <v>2298.32409265012</v>
      </c>
      <c r="I121" s="82" t="n">
        <f aca="false">SUM(I118:I120)</f>
        <v>2185.96440859747</v>
      </c>
      <c r="J121" s="82" t="n">
        <f aca="false">SUM(J118:J120)</f>
        <v>2051.6281646953</v>
      </c>
    </row>
    <row r="122" customFormat="false" ht="12.75" hidden="false" customHeight="false" outlineLevel="0" collapsed="false">
      <c r="E122" s="75"/>
      <c r="F122" s="75"/>
      <c r="G122" s="75"/>
      <c r="H122" s="75"/>
      <c r="I122" s="75"/>
      <c r="J122" s="75"/>
    </row>
    <row r="123" customFormat="false" ht="12.75" hidden="false" customHeight="false" outlineLevel="0" collapsed="false">
      <c r="B123" s="61" t="s">
        <v>404</v>
      </c>
      <c r="E123" s="75"/>
      <c r="F123" s="75" t="n">
        <f aca="false">+E121</f>
        <v>2475</v>
      </c>
      <c r="G123" s="75" t="n">
        <f aca="false">+F121</f>
        <v>2450.25</v>
      </c>
      <c r="H123" s="75" t="n">
        <f aca="false">+G121</f>
        <v>2390.7439714355</v>
      </c>
      <c r="I123" s="75" t="n">
        <f aca="false">+H121</f>
        <v>2298.32409265012</v>
      </c>
      <c r="J123" s="75" t="n">
        <f aca="false">+I121</f>
        <v>2185.96440859747</v>
      </c>
    </row>
    <row r="124" customFormat="false" ht="12.75" hidden="false" customHeight="false" outlineLevel="0" collapsed="false">
      <c r="B124" s="61" t="s">
        <v>405</v>
      </c>
      <c r="F124" s="69" t="n">
        <v>0.0905</v>
      </c>
      <c r="G124" s="92" t="n">
        <f aca="false">+F124</f>
        <v>0.0905</v>
      </c>
      <c r="H124" s="92" t="n">
        <f aca="false">+G124</f>
        <v>0.0905</v>
      </c>
      <c r="I124" s="92" t="n">
        <f aca="false">+H124</f>
        <v>0.0905</v>
      </c>
      <c r="J124" s="92" t="n">
        <f aca="false">+I124</f>
        <v>0.0905</v>
      </c>
    </row>
    <row r="125" customFormat="false" ht="12.75" hidden="false" customHeight="false" outlineLevel="0" collapsed="false">
      <c r="B125" s="61" t="s">
        <v>406</v>
      </c>
      <c r="E125" s="75"/>
      <c r="F125" s="75" t="n">
        <f aca="false">+-F123*F124</f>
        <v>-223.9875</v>
      </c>
      <c r="G125" s="75" t="n">
        <f aca="false">+-G123*G124</f>
        <v>-221.747625</v>
      </c>
      <c r="H125" s="75" t="n">
        <f aca="false">+-H123*H124</f>
        <v>-216.362329414913</v>
      </c>
      <c r="I125" s="75" t="n">
        <f aca="false">+-I123*I124</f>
        <v>-207.998330384836</v>
      </c>
      <c r="J125" s="75" t="n">
        <f aca="false">+-J123*J124</f>
        <v>-197.829778978071</v>
      </c>
    </row>
    <row r="126" customFormat="false" ht="12.75" hidden="false" customHeight="false" outlineLevel="0" collapsed="false">
      <c r="B126" s="61" t="s">
        <v>407</v>
      </c>
      <c r="F126" s="69" t="n">
        <v>0.01</v>
      </c>
      <c r="G126" s="92" t="n">
        <f aca="false">+F126</f>
        <v>0.01</v>
      </c>
      <c r="H126" s="92" t="n">
        <f aca="false">+G126</f>
        <v>0.01</v>
      </c>
      <c r="I126" s="92" t="n">
        <f aca="false">+H126</f>
        <v>0.01</v>
      </c>
      <c r="J126" s="92" t="n">
        <f aca="false">+I126</f>
        <v>0.01</v>
      </c>
    </row>
    <row r="128" customFormat="false" ht="12.75" hidden="false" customHeight="false" outlineLevel="0" collapsed="false">
      <c r="B128" s="93" t="s">
        <v>337</v>
      </c>
    </row>
    <row r="129" customFormat="false" ht="12.75" hidden="false" customHeight="false" outlineLevel="0" collapsed="false">
      <c r="B129" s="61" t="s">
        <v>400</v>
      </c>
      <c r="E129" s="75"/>
      <c r="F129" s="75" t="n">
        <f aca="false">+E132</f>
        <v>0</v>
      </c>
      <c r="G129" s="75" t="n">
        <f aca="false">+F132</f>
        <v>0</v>
      </c>
      <c r="H129" s="75" t="n">
        <f aca="false">+G132</f>
        <v>0</v>
      </c>
      <c r="I129" s="75" t="n">
        <f aca="false">+H132</f>
        <v>0</v>
      </c>
      <c r="J129" s="75" t="n">
        <f aca="false">+I132</f>
        <v>0</v>
      </c>
    </row>
    <row r="130" customFormat="false" ht="12.75" hidden="false" customHeight="false" outlineLevel="0" collapsed="false">
      <c r="B130" s="61" t="s">
        <v>408</v>
      </c>
      <c r="E130" s="75"/>
      <c r="F130" s="75" t="n">
        <f aca="false">+-F139</f>
        <v>0</v>
      </c>
      <c r="G130" s="75" t="n">
        <f aca="false">+-G139</f>
        <v>0</v>
      </c>
      <c r="H130" s="75" t="n">
        <f aca="false">+-H139</f>
        <v>0</v>
      </c>
      <c r="I130" s="75" t="n">
        <f aca="false">+-I139</f>
        <v>0</v>
      </c>
      <c r="J130" s="75" t="n">
        <f aca="false">+-J139</f>
        <v>0</v>
      </c>
    </row>
    <row r="131" customFormat="false" ht="12.75" hidden="false" customHeight="false" outlineLevel="0" collapsed="false">
      <c r="B131" s="61" t="s">
        <v>402</v>
      </c>
      <c r="E131" s="75"/>
      <c r="F131" s="75" t="n">
        <f aca="false">+IF(F103&gt;0,-MIN(SUM(F129:F130),F103),0)</f>
        <v>0</v>
      </c>
      <c r="G131" s="75" t="n">
        <f aca="false">+IF(G103&gt;0,-MIN(SUM(G129:G130),G103),0)</f>
        <v>0</v>
      </c>
      <c r="H131" s="75" t="n">
        <f aca="false">+IF(H103&gt;0,-MIN(SUM(H129:H130),H103),0)</f>
        <v>0</v>
      </c>
      <c r="I131" s="75" t="n">
        <f aca="false">+IF(I103&gt;0,-MIN(SUM(I129:I130),I103),0)</f>
        <v>0</v>
      </c>
      <c r="J131" s="75" t="n">
        <f aca="false">+IF(J103&gt;0,-MIN(SUM(J129:J130),J103),0)</f>
        <v>0</v>
      </c>
    </row>
    <row r="132" customFormat="false" ht="12.75" hidden="false" customHeight="false" outlineLevel="0" collapsed="false">
      <c r="B132" s="81" t="s">
        <v>403</v>
      </c>
      <c r="C132" s="81"/>
      <c r="D132" s="81"/>
      <c r="E132" s="100" t="n">
        <f aca="false">+E12</f>
        <v>0</v>
      </c>
      <c r="F132" s="82" t="n">
        <f aca="false">SUM(F129:F131)</f>
        <v>0</v>
      </c>
      <c r="G132" s="82" t="n">
        <f aca="false">SUM(G129:G131)</f>
        <v>0</v>
      </c>
      <c r="H132" s="82" t="n">
        <f aca="false">SUM(H129:H131)</f>
        <v>0</v>
      </c>
      <c r="I132" s="82" t="n">
        <f aca="false">SUM(I129:I131)</f>
        <v>0</v>
      </c>
      <c r="J132" s="82" t="n">
        <f aca="false">SUM(J129:J131)</f>
        <v>0</v>
      </c>
    </row>
    <row r="133" customFormat="false" ht="12.75" hidden="false" customHeight="false" outlineLevel="0" collapsed="false">
      <c r="E133" s="75"/>
      <c r="F133" s="75"/>
      <c r="G133" s="75"/>
      <c r="H133" s="75"/>
      <c r="I133" s="75"/>
      <c r="J133" s="75"/>
    </row>
    <row r="134" customFormat="false" ht="12.75" hidden="false" customHeight="false" outlineLevel="0" collapsed="false">
      <c r="B134" s="61" t="s">
        <v>404</v>
      </c>
      <c r="E134" s="75"/>
      <c r="F134" s="75" t="n">
        <f aca="false">+E132</f>
        <v>0</v>
      </c>
      <c r="G134" s="75" t="n">
        <f aca="false">+F132</f>
        <v>0</v>
      </c>
      <c r="H134" s="75" t="n">
        <f aca="false">+G132</f>
        <v>0</v>
      </c>
      <c r="I134" s="75" t="n">
        <f aca="false">+H132</f>
        <v>0</v>
      </c>
      <c r="J134" s="75" t="n">
        <f aca="false">+I132</f>
        <v>0</v>
      </c>
    </row>
    <row r="135" customFormat="false" ht="12.75" hidden="false" customHeight="false" outlineLevel="0" collapsed="false">
      <c r="B135" s="61" t="s">
        <v>405</v>
      </c>
      <c r="F135" s="69" t="n">
        <v>0</v>
      </c>
      <c r="G135" s="92" t="n">
        <f aca="false">+F135</f>
        <v>0</v>
      </c>
      <c r="H135" s="92" t="n">
        <f aca="false">+G135</f>
        <v>0</v>
      </c>
      <c r="I135" s="92" t="n">
        <f aca="false">+H135</f>
        <v>0</v>
      </c>
      <c r="J135" s="92" t="n">
        <f aca="false">+I135</f>
        <v>0</v>
      </c>
    </row>
    <row r="136" customFormat="false" ht="12.75" hidden="false" customHeight="false" outlineLevel="0" collapsed="false">
      <c r="B136" s="61" t="s">
        <v>406</v>
      </c>
      <c r="E136" s="75"/>
      <c r="F136" s="75" t="n">
        <f aca="false">+-F134*F135</f>
        <v>-0</v>
      </c>
      <c r="G136" s="75" t="n">
        <f aca="false">+-G134*G135</f>
        <v>-0</v>
      </c>
      <c r="H136" s="75" t="n">
        <f aca="false">+-H134*H135</f>
        <v>-0</v>
      </c>
      <c r="I136" s="75" t="n">
        <f aca="false">+-I134*I135</f>
        <v>-0</v>
      </c>
      <c r="J136" s="75" t="n">
        <f aca="false">+-J134*J135</f>
        <v>-0</v>
      </c>
    </row>
    <row r="138" customFormat="false" ht="12.75" hidden="false" customHeight="false" outlineLevel="0" collapsed="false">
      <c r="B138" s="61" t="s">
        <v>409</v>
      </c>
      <c r="F138" s="69" t="n">
        <v>0</v>
      </c>
      <c r="G138" s="92" t="n">
        <f aca="false">+F138</f>
        <v>0</v>
      </c>
      <c r="H138" s="92" t="n">
        <f aca="false">+G138</f>
        <v>0</v>
      </c>
      <c r="I138" s="92" t="n">
        <f aca="false">+H138</f>
        <v>0</v>
      </c>
      <c r="J138" s="92" t="n">
        <f aca="false">+I138</f>
        <v>0</v>
      </c>
    </row>
    <row r="139" customFormat="false" ht="12.75" hidden="false" customHeight="false" outlineLevel="0" collapsed="false">
      <c r="B139" s="61" t="s">
        <v>410</v>
      </c>
      <c r="E139" s="75"/>
      <c r="F139" s="75" t="n">
        <f aca="false">+E132*-F138</f>
        <v>-0</v>
      </c>
      <c r="G139" s="75" t="n">
        <f aca="false">+F132*-G138</f>
        <v>-0</v>
      </c>
      <c r="H139" s="75" t="n">
        <f aca="false">+G132*-H138</f>
        <v>-0</v>
      </c>
      <c r="I139" s="75" t="n">
        <f aca="false">+H132*-I138</f>
        <v>-0</v>
      </c>
      <c r="J139" s="75" t="n">
        <f aca="false">+I132*-J138</f>
        <v>-0</v>
      </c>
    </row>
    <row r="140" customFormat="false" ht="12.75" hidden="false" customHeight="false" outlineLevel="0" collapsed="false">
      <c r="E140" s="75"/>
      <c r="F140" s="75"/>
      <c r="G140" s="75"/>
      <c r="H140" s="75"/>
      <c r="I140" s="75"/>
      <c r="J140" s="75"/>
    </row>
    <row r="141" customFormat="false" ht="12.75" hidden="false" customHeight="false" outlineLevel="0" collapsed="false">
      <c r="B141" s="93" t="s">
        <v>370</v>
      </c>
      <c r="E141" s="75"/>
      <c r="F141" s="75"/>
      <c r="G141" s="75"/>
      <c r="H141" s="75"/>
      <c r="I141" s="75"/>
      <c r="J141" s="75"/>
    </row>
    <row r="142" customFormat="false" ht="12.75" hidden="false" customHeight="false" outlineLevel="0" collapsed="false">
      <c r="B142" s="61" t="s">
        <v>400</v>
      </c>
      <c r="E142" s="75"/>
      <c r="F142" s="75" t="n">
        <f aca="false">+E144</f>
        <v>0</v>
      </c>
      <c r="G142" s="75" t="n">
        <f aca="false">+F144</f>
        <v>50</v>
      </c>
      <c r="H142" s="75" t="n">
        <f aca="false">+G144</f>
        <v>50</v>
      </c>
      <c r="I142" s="75" t="n">
        <f aca="false">+H144</f>
        <v>50</v>
      </c>
      <c r="J142" s="75" t="n">
        <f aca="false">+I144</f>
        <v>50</v>
      </c>
    </row>
    <row r="143" customFormat="false" ht="12.75" hidden="false" customHeight="false" outlineLevel="0" collapsed="false">
      <c r="B143" s="61" t="s">
        <v>411</v>
      </c>
      <c r="E143" s="75"/>
      <c r="F143" s="75" t="n">
        <f aca="false">+F92</f>
        <v>50</v>
      </c>
      <c r="G143" s="75" t="n">
        <f aca="false">+G92</f>
        <v>0</v>
      </c>
      <c r="H143" s="75" t="n">
        <f aca="false">+H92</f>
        <v>0</v>
      </c>
      <c r="I143" s="75" t="n">
        <f aca="false">+I92</f>
        <v>0</v>
      </c>
      <c r="J143" s="75" t="n">
        <f aca="false">+J92</f>
        <v>0</v>
      </c>
    </row>
    <row r="144" customFormat="false" ht="12.75" hidden="false" customHeight="false" outlineLevel="0" collapsed="false">
      <c r="B144" s="81" t="s">
        <v>403</v>
      </c>
      <c r="C144" s="81"/>
      <c r="D144" s="81"/>
      <c r="E144" s="100" t="n">
        <v>0</v>
      </c>
      <c r="F144" s="82" t="n">
        <f aca="false">SUM(F142:F143)</f>
        <v>50</v>
      </c>
      <c r="G144" s="82" t="n">
        <f aca="false">SUM(G142:G143)</f>
        <v>50</v>
      </c>
      <c r="H144" s="82" t="n">
        <f aca="false">SUM(H142:H143)</f>
        <v>50</v>
      </c>
      <c r="I144" s="82" t="n">
        <f aca="false">SUM(I142:I143)</f>
        <v>50</v>
      </c>
      <c r="J144" s="82" t="n">
        <f aca="false">SUM(J142:J143)</f>
        <v>50</v>
      </c>
    </row>
    <row r="145" customFormat="false" ht="12.75" hidden="false" customHeight="false" outlineLevel="0" collapsed="false">
      <c r="E145" s="75"/>
      <c r="F145" s="75"/>
      <c r="G145" s="75"/>
      <c r="H145" s="75"/>
      <c r="I145" s="75"/>
      <c r="J145" s="75"/>
    </row>
    <row r="146" customFormat="false" ht="12.75" hidden="false" customHeight="false" outlineLevel="0" collapsed="false">
      <c r="B146" s="61" t="s">
        <v>404</v>
      </c>
      <c r="E146" s="75"/>
      <c r="F146" s="75" t="n">
        <f aca="false">+E144</f>
        <v>0</v>
      </c>
      <c r="G146" s="75" t="n">
        <f aca="false">+F144</f>
        <v>50</v>
      </c>
      <c r="H146" s="75" t="n">
        <f aca="false">+G144</f>
        <v>50</v>
      </c>
      <c r="I146" s="75" t="n">
        <f aca="false">+H144</f>
        <v>50</v>
      </c>
      <c r="J146" s="75" t="n">
        <f aca="false">+I144</f>
        <v>50</v>
      </c>
    </row>
    <row r="147" customFormat="false" ht="12.75" hidden="false" customHeight="false" outlineLevel="0" collapsed="false">
      <c r="B147" s="61" t="s">
        <v>405</v>
      </c>
      <c r="F147" s="69" t="n">
        <v>0.04</v>
      </c>
      <c r="G147" s="92" t="n">
        <f aca="false">+F147</f>
        <v>0.04</v>
      </c>
      <c r="H147" s="92" t="n">
        <f aca="false">+G147</f>
        <v>0.04</v>
      </c>
      <c r="I147" s="92" t="n">
        <f aca="false">+H147</f>
        <v>0.04</v>
      </c>
      <c r="J147" s="92" t="n">
        <f aca="false">+I147</f>
        <v>0.04</v>
      </c>
    </row>
    <row r="148" customFormat="false" ht="12.75" hidden="false" customHeight="false" outlineLevel="0" collapsed="false">
      <c r="B148" s="61" t="s">
        <v>412</v>
      </c>
      <c r="E148" s="75"/>
      <c r="F148" s="75" t="n">
        <f aca="false">+F146*F147</f>
        <v>0</v>
      </c>
      <c r="G148" s="75" t="n">
        <f aca="false">+G146*G147</f>
        <v>2</v>
      </c>
      <c r="H148" s="75" t="n">
        <f aca="false">+H146*H147</f>
        <v>2</v>
      </c>
      <c r="I148" s="75" t="n">
        <f aca="false">+I146*I147</f>
        <v>2</v>
      </c>
      <c r="J148" s="75" t="n">
        <f aca="false">+J146*J147</f>
        <v>2</v>
      </c>
    </row>
    <row r="149" customFormat="false" ht="12.75" hidden="false" customHeight="false" outlineLevel="0" collapsed="false">
      <c r="E149" s="75"/>
      <c r="F149" s="75"/>
      <c r="G149" s="75"/>
      <c r="H149" s="75"/>
      <c r="I149" s="75"/>
      <c r="J149" s="75"/>
    </row>
    <row r="150" customFormat="false" ht="12.75" hidden="false" customHeight="false" outlineLevel="0" collapsed="false">
      <c r="B150" s="61" t="s">
        <v>413</v>
      </c>
      <c r="E150" s="75"/>
      <c r="F150" s="75" t="n">
        <f aca="false">+F115+F125+F136+F139</f>
        <v>-223.9875</v>
      </c>
      <c r="G150" s="75" t="n">
        <f aca="false">+G115+G125+G136+G139</f>
        <v>-222.9445210621</v>
      </c>
      <c r="H150" s="75" t="n">
        <f aca="false">+H115+H125+H136+H139</f>
        <v>-216.362329414913</v>
      </c>
      <c r="I150" s="75" t="n">
        <f aca="false">+I115+I125+I136+I139</f>
        <v>-207.998330384836</v>
      </c>
      <c r="J150" s="75" t="n">
        <f aca="false">+J115+J125+J136+J139</f>
        <v>-197.829778978071</v>
      </c>
    </row>
    <row r="151" customFormat="false" ht="12.75" hidden="false" customHeight="false" outlineLevel="0" collapsed="false">
      <c r="F151" s="102"/>
      <c r="G151" s="102"/>
      <c r="H151" s="102"/>
      <c r="I151" s="102"/>
      <c r="J151" s="102"/>
    </row>
    <row r="152" customFormat="false" ht="12.75" hidden="false" customHeight="false" outlineLevel="0" collapsed="false">
      <c r="A152" s="61" t="s">
        <v>348</v>
      </c>
      <c r="B152" s="85" t="s">
        <v>414</v>
      </c>
      <c r="C152" s="85"/>
      <c r="D152" s="85"/>
      <c r="E152" s="85" t="n">
        <v>2013</v>
      </c>
      <c r="F152" s="85" t="n">
        <f aca="false">E152+1</f>
        <v>2014</v>
      </c>
      <c r="G152" s="85" t="n">
        <f aca="false">F152+1</f>
        <v>2015</v>
      </c>
      <c r="H152" s="85" t="n">
        <f aca="false">G152+1</f>
        <v>2016</v>
      </c>
      <c r="I152" s="85" t="n">
        <f aca="false">H152+1</f>
        <v>2017</v>
      </c>
      <c r="J152" s="85" t="n">
        <f aca="false">I152+1</f>
        <v>2018</v>
      </c>
    </row>
    <row r="153" customFormat="false" ht="12.75" hidden="false" customHeight="false" outlineLevel="0" collapsed="false">
      <c r="B153" s="61" t="s">
        <v>125</v>
      </c>
      <c r="E153" s="75"/>
      <c r="F153" s="75" t="n">
        <f aca="false">+F31</f>
        <v>420</v>
      </c>
      <c r="G153" s="75" t="n">
        <f aca="false">+G31</f>
        <v>441</v>
      </c>
      <c r="H153" s="75" t="n">
        <f aca="false">+H31</f>
        <v>463.05</v>
      </c>
      <c r="I153" s="75" t="n">
        <f aca="false">+I31</f>
        <v>486.2025</v>
      </c>
      <c r="J153" s="75" t="n">
        <f aca="false">+J31</f>
        <v>510.512625</v>
      </c>
    </row>
    <row r="154" customFormat="false" ht="12.75" hidden="false" customHeight="false" outlineLevel="0" collapsed="false">
      <c r="B154" s="61" t="s">
        <v>320</v>
      </c>
      <c r="F154" s="103" t="n">
        <f aca="false">+$E$4</f>
        <v>11</v>
      </c>
      <c r="G154" s="103" t="n">
        <f aca="false">+$E$4</f>
        <v>11</v>
      </c>
      <c r="H154" s="103" t="n">
        <f aca="false">+$E$4</f>
        <v>11</v>
      </c>
      <c r="I154" s="103" t="n">
        <f aca="false">+$E$4</f>
        <v>11</v>
      </c>
      <c r="J154" s="103" t="n">
        <f aca="false">+$E$4</f>
        <v>11</v>
      </c>
    </row>
    <row r="155" customFormat="false" ht="12.75" hidden="false" customHeight="false" outlineLevel="0" collapsed="false">
      <c r="B155" s="81" t="s">
        <v>415</v>
      </c>
      <c r="C155" s="81"/>
      <c r="D155" s="81"/>
      <c r="E155" s="82"/>
      <c r="F155" s="82" t="n">
        <f aca="false">+F153*F154</f>
        <v>4620</v>
      </c>
      <c r="G155" s="82" t="n">
        <f aca="false">+G153*G154</f>
        <v>4851</v>
      </c>
      <c r="H155" s="82" t="n">
        <f aca="false">+H153*H154</f>
        <v>5093.55</v>
      </c>
      <c r="I155" s="82" t="n">
        <f aca="false">+I153*I154</f>
        <v>5348.2275</v>
      </c>
      <c r="J155" s="82" t="n">
        <f aca="false">+J153*J154</f>
        <v>5615.638875</v>
      </c>
    </row>
    <row r="156" customFormat="false" ht="12.75" hidden="false" customHeight="false" outlineLevel="0" collapsed="false">
      <c r="B156" s="61" t="s">
        <v>416</v>
      </c>
      <c r="E156" s="75"/>
      <c r="F156" s="75" t="n">
        <f aca="false">+-F67+F62</f>
        <v>-2415.21120077625</v>
      </c>
      <c r="G156" s="75" t="n">
        <f aca="false">+-G67+G62</f>
        <v>-2340.7439714355</v>
      </c>
      <c r="H156" s="75" t="n">
        <f aca="false">+-H67+H62</f>
        <v>-2248.32409265012</v>
      </c>
      <c r="I156" s="75" t="n">
        <f aca="false">+-I67+I62</f>
        <v>-2135.96440859747</v>
      </c>
      <c r="J156" s="75" t="n">
        <f aca="false">+-J67+J62</f>
        <v>-2001.6281646953</v>
      </c>
    </row>
    <row r="157" customFormat="false" ht="12.75" hidden="false" customHeight="false" outlineLevel="0" collapsed="false">
      <c r="B157" s="81" t="s">
        <v>417</v>
      </c>
      <c r="C157" s="81"/>
      <c r="D157" s="81"/>
      <c r="E157" s="82"/>
      <c r="F157" s="82" t="n">
        <f aca="false">+SUM(F155:F156)</f>
        <v>2204.78879922375</v>
      </c>
      <c r="G157" s="82" t="n">
        <f aca="false">+SUM(G155:G156)</f>
        <v>2510.2560285645</v>
      </c>
      <c r="H157" s="82" t="n">
        <f aca="false">+SUM(H155:H156)</f>
        <v>2845.22590734988</v>
      </c>
      <c r="I157" s="82" t="n">
        <f aca="false">+SUM(I155:I156)</f>
        <v>3212.26309140254</v>
      </c>
      <c r="J157" s="82" t="n">
        <f aca="false">+SUM(J155:J156)</f>
        <v>3614.01071030471</v>
      </c>
    </row>
    <row r="158" customFormat="false" ht="12.75" hidden="false" customHeight="false" outlineLevel="0" collapsed="false">
      <c r="B158" s="61" t="s">
        <v>418</v>
      </c>
      <c r="E158" s="75"/>
      <c r="F158" s="75" t="n">
        <f aca="false">+-F157*$K$158</f>
        <v>-0</v>
      </c>
      <c r="G158" s="75" t="n">
        <f aca="false">+-G157*$K$158</f>
        <v>-0</v>
      </c>
      <c r="H158" s="75" t="n">
        <f aca="false">+-H157*$K$158</f>
        <v>-0</v>
      </c>
      <c r="I158" s="75" t="n">
        <f aca="false">+-I157*$K$158</f>
        <v>-0</v>
      </c>
      <c r="J158" s="75" t="n">
        <f aca="false">+-J157*$K$158</f>
        <v>-0</v>
      </c>
      <c r="K158" s="104" t="n">
        <f aca="false">E13/SUM(E13:E14)</f>
        <v>0</v>
      </c>
    </row>
    <row r="159" customFormat="false" ht="12.75" hidden="false" customHeight="false" outlineLevel="0" collapsed="false">
      <c r="B159" s="81" t="s">
        <v>419</v>
      </c>
      <c r="C159" s="81"/>
      <c r="D159" s="81"/>
      <c r="E159" s="82"/>
      <c r="F159" s="82" t="n">
        <f aca="false">SUM(F157:F158)</f>
        <v>2204.78879922375</v>
      </c>
      <c r="G159" s="82" t="n">
        <f aca="false">SUM(G157:G158)</f>
        <v>2510.2560285645</v>
      </c>
      <c r="H159" s="82" t="n">
        <f aca="false">SUM(H157:H158)</f>
        <v>2845.22590734988</v>
      </c>
      <c r="I159" s="82" t="n">
        <f aca="false">SUM(I157:I158)</f>
        <v>3212.26309140254</v>
      </c>
      <c r="J159" s="82" t="n">
        <f aca="false">SUM(J157:J158)</f>
        <v>3614.01071030471</v>
      </c>
    </row>
    <row r="160" customFormat="false" ht="12.75" hidden="false" customHeight="false" outlineLevel="0" collapsed="false">
      <c r="E160" s="75"/>
      <c r="F160" s="75"/>
      <c r="G160" s="75"/>
      <c r="H160" s="75"/>
      <c r="I160" s="75"/>
      <c r="J160" s="75"/>
    </row>
    <row r="161" customFormat="false" ht="12.75" hidden="false" customHeight="false" outlineLevel="0" collapsed="false">
      <c r="B161" s="105" t="n">
        <v>45530</v>
      </c>
      <c r="E161" s="75"/>
      <c r="F161" s="75" t="n">
        <f aca="false">+-$E$14</f>
        <v>-2400.6875</v>
      </c>
      <c r="G161" s="75" t="n">
        <f aca="false">+-$E$14</f>
        <v>-2400.6875</v>
      </c>
      <c r="H161" s="75" t="n">
        <f aca="false">+-$E$14</f>
        <v>-2400.6875</v>
      </c>
      <c r="I161" s="75" t="n">
        <f aca="false">+-$E$14</f>
        <v>-2400.6875</v>
      </c>
      <c r="J161" s="75" t="n">
        <f aca="false">+-$E$14</f>
        <v>-2400.6875</v>
      </c>
    </row>
    <row r="162" customFormat="false" ht="12.75" hidden="false" customHeight="false" outlineLevel="0" collapsed="false">
      <c r="B162" s="106" t="n">
        <f aca="false">DATE(YEAR(B161)+1,MONTH(B161),DAY(B161))</f>
        <v>45895</v>
      </c>
      <c r="E162" s="75"/>
      <c r="F162" s="75" t="n">
        <f aca="false">+F159</f>
        <v>2204.78879922375</v>
      </c>
      <c r="G162" s="75"/>
      <c r="H162" s="75"/>
      <c r="I162" s="75"/>
      <c r="J162" s="75"/>
    </row>
    <row r="163" customFormat="false" ht="12.75" hidden="false" customHeight="false" outlineLevel="0" collapsed="false">
      <c r="B163" s="106" t="n">
        <f aca="false">DATE(YEAR(B162)+1,MONTH(B162),DAY(B162))</f>
        <v>46260</v>
      </c>
      <c r="E163" s="75"/>
      <c r="F163" s="75"/>
      <c r="G163" s="75" t="n">
        <f aca="false">+G159</f>
        <v>2510.2560285645</v>
      </c>
      <c r="H163" s="75"/>
      <c r="I163" s="75"/>
      <c r="J163" s="75"/>
    </row>
    <row r="164" customFormat="false" ht="12.75" hidden="false" customHeight="false" outlineLevel="0" collapsed="false">
      <c r="B164" s="106" t="n">
        <f aca="false">DATE(YEAR(B163)+1,MONTH(B163),DAY(B163))</f>
        <v>46625</v>
      </c>
      <c r="E164" s="75"/>
      <c r="F164" s="75"/>
      <c r="G164" s="75"/>
      <c r="H164" s="75" t="n">
        <f aca="false">+H159</f>
        <v>2845.22590734988</v>
      </c>
      <c r="I164" s="75"/>
      <c r="J164" s="75"/>
    </row>
    <row r="165" customFormat="false" ht="12.75" hidden="false" customHeight="false" outlineLevel="0" collapsed="false">
      <c r="B165" s="106" t="n">
        <f aca="false">DATE(YEAR(B164)+1,MONTH(B164),DAY(B164))</f>
        <v>46991</v>
      </c>
      <c r="E165" s="75"/>
      <c r="F165" s="75"/>
      <c r="G165" s="75"/>
      <c r="H165" s="75"/>
      <c r="I165" s="75" t="n">
        <f aca="false">+I159</f>
        <v>3212.26309140254</v>
      </c>
      <c r="J165" s="75"/>
    </row>
    <row r="166" customFormat="false" ht="12.75" hidden="false" customHeight="false" outlineLevel="0" collapsed="false">
      <c r="B166" s="106" t="n">
        <f aca="false">DATE(YEAR(B165)+1,MONTH(B165),DAY(B165))</f>
        <v>47356</v>
      </c>
      <c r="E166" s="75"/>
      <c r="F166" s="75"/>
      <c r="G166" s="75"/>
      <c r="H166" s="75"/>
      <c r="I166" s="75"/>
      <c r="J166" s="75" t="n">
        <f aca="false">+J159</f>
        <v>3614.01071030471</v>
      </c>
    </row>
    <row r="167" customFormat="false" ht="12.75" hidden="false" customHeight="false" outlineLevel="0" collapsed="false">
      <c r="B167" s="81" t="s">
        <v>156</v>
      </c>
      <c r="C167" s="81"/>
      <c r="D167" s="81"/>
      <c r="E167" s="81"/>
      <c r="F167" s="107" t="n">
        <f aca="false">IFERROR(XIRR(F161:F166,$B$161:$B$166),"n/m")</f>
        <v>-0.0816010833464359</v>
      </c>
      <c r="G167" s="107" t="n">
        <f aca="false">IFERROR(XIRR(G161:G166,$B$161:$B$166),"n/m")</f>
        <v>0.0225656357774104</v>
      </c>
      <c r="H167" s="107" t="n">
        <f aca="false">IFERROR(XIRR(H161:H166,$B$161:$B$166),"n/m")</f>
        <v>0.0582632329865139</v>
      </c>
      <c r="I167" s="107" t="n">
        <f aca="false">IFERROR(XIRR(I161:I166,$B$161:$B$166),"n/m")</f>
        <v>0.0754673425257842</v>
      </c>
      <c r="J167" s="107" t="n">
        <f aca="false">IFERROR(XIRR(J161:J166,$B$161:$B$166),"n/m")</f>
        <v>0.0852037918446427</v>
      </c>
    </row>
    <row r="168" customFormat="false" ht="12.75" hidden="false" customHeight="false" outlineLevel="0" collapsed="false">
      <c r="B168" s="61" t="s">
        <v>420</v>
      </c>
      <c r="F168" s="103" t="n">
        <f aca="false">+F162/F161*-1</f>
        <v>0.918398916653564</v>
      </c>
      <c r="G168" s="103" t="n">
        <f aca="false">+G163/G161*-1</f>
        <v>1.04564047947286</v>
      </c>
      <c r="H168" s="103" t="n">
        <f aca="false">+H164/H161*-1</f>
        <v>1.18517129253594</v>
      </c>
      <c r="I168" s="103" t="n">
        <f aca="false">+I165/I161*-1</f>
        <v>1.33805965641198</v>
      </c>
      <c r="J168" s="103" t="n">
        <f aca="false">+J166/J161*-1</f>
        <v>1.50540655970621</v>
      </c>
    </row>
    <row r="169" customFormat="false" ht="12.75" hidden="false" customHeight="false" outlineLevel="0" collapsed="false">
      <c r="F169" s="102"/>
      <c r="G169" s="102"/>
      <c r="H169" s="102"/>
      <c r="I169" s="102"/>
      <c r="J169" s="102"/>
    </row>
    <row r="170" customFormat="false" ht="12.75" hidden="false" customHeight="false" outlineLevel="0" collapsed="false">
      <c r="A170" s="61" t="s">
        <v>421</v>
      </c>
      <c r="B170" s="85" t="s">
        <v>422</v>
      </c>
      <c r="C170" s="85"/>
      <c r="D170" s="85"/>
      <c r="E170" s="85"/>
      <c r="F170" s="85"/>
      <c r="G170" s="85"/>
      <c r="H170" s="85"/>
      <c r="I170" s="85"/>
      <c r="J170" s="85"/>
    </row>
    <row r="171" customFormat="false" ht="12.75" hidden="false" customHeight="false" outlineLevel="0" collapsed="false">
      <c r="F171" s="102"/>
      <c r="G171" s="102"/>
      <c r="H171" s="102"/>
      <c r="I171" s="102"/>
      <c r="J171" s="102"/>
    </row>
    <row r="172" customFormat="false" ht="12.75" hidden="false" customHeight="false" outlineLevel="0" collapsed="false">
      <c r="C172" s="61" t="s">
        <v>423</v>
      </c>
      <c r="D172" s="108" t="s">
        <v>320</v>
      </c>
      <c r="E172" s="108"/>
      <c r="F172" s="108"/>
      <c r="G172" s="108"/>
      <c r="H172" s="108"/>
      <c r="J172" s="102"/>
    </row>
    <row r="173" customFormat="false" ht="12.75" hidden="false" customHeight="false" outlineLevel="0" collapsed="false">
      <c r="C173" s="109" t="n">
        <f aca="false">+J167</f>
        <v>0.0852037918446427</v>
      </c>
      <c r="D173" s="110" t="n">
        <v>9</v>
      </c>
      <c r="E173" s="110" t="n">
        <f aca="false">D173+1</f>
        <v>10</v>
      </c>
      <c r="F173" s="110" t="n">
        <f aca="false">E173+1</f>
        <v>11</v>
      </c>
      <c r="G173" s="110" t="n">
        <f aca="false">F173+1</f>
        <v>12</v>
      </c>
      <c r="H173" s="110" t="n">
        <f aca="false">G173+1</f>
        <v>13</v>
      </c>
      <c r="J173" s="102"/>
    </row>
    <row r="174" customFormat="false" ht="12.75" hidden="false" customHeight="false" outlineLevel="0" collapsed="false">
      <c r="C174" s="96" t="n">
        <v>10</v>
      </c>
      <c r="D174" s="111" t="n">
        <f aca="false">IFERROR(((($J$153*D$173+$J$156)*(1-$K$158))/($E$14+(($C174-$E$3)*$E$5)))^(1/5)-1,"n/m")</f>
        <v>0.0945284226848102</v>
      </c>
      <c r="E174" s="107" t="n">
        <f aca="false">IFERROR(((($J$153*E$173+$J$156)*(1-$K$158))/($E$14+(($C174-$E$3)*$E$5)))^(1/5)-1,"n/m")</f>
        <v>0.134585747828619</v>
      </c>
      <c r="F174" s="107" t="n">
        <f aca="false">IFERROR(((($J$153*F$173+$J$156)*(1-$K$158))/($E$14+(($C174-$E$3)*$E$5)))^(1/5)-1,"n/m")</f>
        <v>0.169674210634602</v>
      </c>
      <c r="G174" s="107" t="n">
        <f aca="false">IFERROR(((($J$153*G$173+$J$156)*(1-$K$158))/($E$14+(($C174-$E$3)*$E$5)))^(1/5)-1,"n/m")</f>
        <v>0.200996607118555</v>
      </c>
      <c r="H174" s="112" t="n">
        <f aca="false">IFERROR(((($J$153*H$173+$J$156)*(1-$K$158))/($E$14+(($C174-$E$3)*$E$5)))^(1/5)-1,"n/m")</f>
        <v>0.22935595437747</v>
      </c>
    </row>
    <row r="175" customFormat="false" ht="12.75" hidden="false" customHeight="false" outlineLevel="0" collapsed="false">
      <c r="B175" s="61" t="s">
        <v>424</v>
      </c>
      <c r="C175" s="96" t="n">
        <v>11</v>
      </c>
      <c r="D175" s="113" t="n">
        <f aca="false">IFERROR(((($J$153*D$173+$J$156)*(1-$K$158))/($E$14+(($C175-$E$3)*$E$5)))^(1/5)-1,"n/m")</f>
        <v>0.0480454563043991</v>
      </c>
      <c r="E175" s="114" t="n">
        <f aca="false">IFERROR(((($J$153*E$173+$J$156)*(1-$K$158))/($E$14+(($C175-$E$3)*$E$5)))^(1/5)-1,"n/m")</f>
        <v>0.0864016074454517</v>
      </c>
      <c r="F175" s="114" t="n">
        <f aca="false">IFERROR(((($J$153*F$173+$J$156)*(1-$K$158))/($E$14+(($C175-$E$3)*$E$5)))^(1/5)-1,"n/m")</f>
        <v>0.119999916315596</v>
      </c>
      <c r="G175" s="114" t="n">
        <f aca="false">IFERROR(((($J$153*G$173+$J$156)*(1-$K$158))/($E$14+(($C175-$E$3)*$E$5)))^(1/5)-1,"n/m")</f>
        <v>0.149992098003349</v>
      </c>
      <c r="H175" s="115" t="n">
        <f aca="false">IFERROR(((($J$153*H$173+$J$156)*(1-$K$158))/($E$14+(($C175-$E$3)*$E$5)))^(1/5)-1,"n/m")</f>
        <v>0.177147066684343</v>
      </c>
    </row>
    <row r="176" customFormat="false" ht="12.75" hidden="false" customHeight="false" outlineLevel="0" collapsed="false">
      <c r="B176" s="61" t="s">
        <v>425</v>
      </c>
      <c r="C176" s="96" t="n">
        <v>12</v>
      </c>
      <c r="D176" s="113" t="n">
        <f aca="false">IFERROR(((($J$153*D$173+$J$156)*(1-$K$158))/($E$14+(($C176-$E$3)*$E$5)))^(1/5)-1,"n/m")</f>
        <v>0.0113522131864818</v>
      </c>
      <c r="E176" s="114" t="n">
        <f aca="false">IFERROR(((($J$153*E$173+$J$156)*(1-$K$158))/($E$14+(($C176-$E$3)*$E$5)))^(1/5)-1,"n/m")</f>
        <v>0.0483654725947187</v>
      </c>
      <c r="F176" s="104" t="n">
        <f aca="false">IFERROR(((($J$153*F$173+$J$156)*(1-$K$158))/($E$14+(($C176-$E$3)*$E$5)))^(1/5)-1,"n/m")</f>
        <v>0.0807874671091196</v>
      </c>
      <c r="G176" s="114" t="n">
        <f aca="false">IFERROR(((($J$153*G$173+$J$156)*(1-$K$158))/($E$14+(($C176-$E$3)*$E$5)))^(1/5)-1,"n/m")</f>
        <v>0.109729588985358</v>
      </c>
      <c r="H176" s="115" t="n">
        <f aca="false">IFERROR(((($J$153*H$173+$J$156)*(1-$K$158))/($E$14+(($C176-$E$3)*$E$5)))^(1/5)-1,"n/m")</f>
        <v>0.135933831854149</v>
      </c>
    </row>
    <row r="177" customFormat="false" ht="12.75" hidden="false" customHeight="false" outlineLevel="0" collapsed="false">
      <c r="C177" s="96" t="n">
        <v>13</v>
      </c>
      <c r="D177" s="113" t="n">
        <f aca="false">IFERROR(((($J$153*D$173+$J$156)*(1-$K$158))/($E$14+(($C177-$E$3)*$E$5)))^(1/5)-1,"n/m")</f>
        <v>-0.0187716352600248</v>
      </c>
      <c r="E177" s="114" t="n">
        <f aca="false">IFERROR(((($J$153*E$173+$J$156)*(1-$K$158))/($E$14+(($C177-$E$3)*$E$5)))^(1/5)-1,"n/m")</f>
        <v>0.0171391577647035</v>
      </c>
      <c r="F177" s="114" t="n">
        <f aca="false">IFERROR(((($J$153*F$173+$J$156)*(1-$K$158))/($E$14+(($C177-$E$3)*$E$5)))^(1/5)-1,"n/m")</f>
        <v>0.0485954400016693</v>
      </c>
      <c r="G177" s="114" t="n">
        <f aca="false">IFERROR(((($J$153*G$173+$J$156)*(1-$K$158))/($E$14+(($C177-$E$3)*$E$5)))^(1/5)-1,"n/m")</f>
        <v>0.076675500093939</v>
      </c>
      <c r="H177" s="115" t="n">
        <f aca="false">IFERROR(((($J$153*H$173+$J$156)*(1-$K$158))/($E$14+(($C177-$E$3)*$E$5)))^(1/5)-1,"n/m")</f>
        <v>0.102099230861661</v>
      </c>
    </row>
    <row r="178" customFormat="false" ht="12.75" hidden="false" customHeight="false" outlineLevel="0" collapsed="false">
      <c r="C178" s="96" t="n">
        <v>14</v>
      </c>
      <c r="D178" s="116" t="n">
        <f aca="false">IFERROR(((($J$153*D$173+$J$156)*(1-$K$158))/($E$14+(($C178-$E$3)*$E$5)))^(1/5)-1,"n/m")</f>
        <v>-0.0442045207298391</v>
      </c>
      <c r="E178" s="117" t="n">
        <f aca="false">IFERROR(((($J$153*E$173+$J$156)*(1-$K$158))/($E$14+(($C178-$E$3)*$E$5)))^(1/5)-1,"n/m")</f>
        <v>-0.00922451519449419</v>
      </c>
      <c r="F178" s="117" t="n">
        <f aca="false">IFERROR(((($J$153*F$173+$J$156)*(1-$K$158))/($E$14+(($C178-$E$3)*$E$5)))^(1/5)-1,"n/m")</f>
        <v>0.0214164379588582</v>
      </c>
      <c r="G178" s="117" t="n">
        <f aca="false">IFERROR(((($J$153*G$173+$J$156)*(1-$K$158))/($E$14+(($C178-$E$3)*$E$5)))^(1/5)-1,"n/m")</f>
        <v>0.0487686787401753</v>
      </c>
      <c r="H178" s="118" t="n">
        <f aca="false">IFERROR(((($J$153*H$173+$J$156)*(1-$K$158))/($E$14+(($C178-$E$3)*$E$5)))^(1/5)-1,"n/m")</f>
        <v>0.0735334407539698</v>
      </c>
    </row>
    <row r="180" customFormat="false" ht="12.75" hidden="false" customHeight="false" outlineLevel="0" collapsed="false">
      <c r="C180" s="61" t="s">
        <v>426</v>
      </c>
      <c r="D180" s="108" t="s">
        <v>320</v>
      </c>
      <c r="E180" s="108"/>
      <c r="F180" s="108"/>
      <c r="G180" s="108"/>
      <c r="H180" s="108"/>
    </row>
    <row r="181" customFormat="false" ht="12.75" hidden="false" customHeight="false" outlineLevel="0" collapsed="false">
      <c r="C181" s="109" t="n">
        <f aca="false">+J168</f>
        <v>1.50540655970621</v>
      </c>
      <c r="D181" s="119" t="n">
        <v>9</v>
      </c>
      <c r="E181" s="119" t="n">
        <f aca="false">D181+1</f>
        <v>10</v>
      </c>
      <c r="F181" s="119" t="n">
        <f aca="false">E181+1</f>
        <v>11</v>
      </c>
      <c r="G181" s="119" t="n">
        <f aca="false">F181+1</f>
        <v>12</v>
      </c>
      <c r="H181" s="119" t="n">
        <f aca="false">G181+1</f>
        <v>13</v>
      </c>
    </row>
    <row r="182" customFormat="false" ht="12.75" hidden="false" customHeight="false" outlineLevel="0" collapsed="false">
      <c r="C182" s="96" t="n">
        <v>10</v>
      </c>
      <c r="D182" s="120" t="n">
        <f aca="false">IFERROR((($J$153*D$181+$J$156)*(1-$K$158))/($E$14+(($C182-$E$3)*$E$5)),"n/m")</f>
        <v>1.57085181798778</v>
      </c>
      <c r="E182" s="121" t="n">
        <f aca="false">IFERROR((($J$153*E$181+$J$156)*(1-$K$158))/($E$14+(($C182-$E$3)*$E$5)),"n/m")</f>
        <v>1.88012454526051</v>
      </c>
      <c r="F182" s="121" t="n">
        <f aca="false">IFERROR((($J$153*F$181+$J$156)*(1-$K$158))/($E$14+(($C182-$E$3)*$E$5)),"n/m")</f>
        <v>2.18939727253324</v>
      </c>
      <c r="G182" s="121" t="n">
        <f aca="false">IFERROR((($J$153*G$181+$J$156)*(1-$K$158))/($E$14+(($C182-$E$3)*$E$5)),"n/m")</f>
        <v>2.49866999980596</v>
      </c>
      <c r="H182" s="122" t="n">
        <f aca="false">IFERROR((($J$153*H$181+$J$156)*(1-$K$158))/($E$14+(($C182-$E$3)*$E$5)),"n/m")</f>
        <v>2.80794272707869</v>
      </c>
    </row>
    <row r="183" customFormat="false" ht="12.75" hidden="false" customHeight="false" outlineLevel="0" collapsed="false">
      <c r="B183" s="61" t="s">
        <v>424</v>
      </c>
      <c r="C183" s="96" t="n">
        <v>11</v>
      </c>
      <c r="D183" s="123" t="n">
        <f aca="false">IFERROR((($J$153*D$181+$J$156)*(1-$K$158))/($E$14+(($C183-$E$3)*$E$5)),"n/m")</f>
        <v>1.26444690393085</v>
      </c>
      <c r="E183" s="124" t="n">
        <f aca="false">IFERROR((($J$153*E$181+$J$156)*(1-$K$158))/($E$14+(($C183-$E$3)*$E$5)),"n/m")</f>
        <v>1.5133939643679</v>
      </c>
      <c r="F183" s="124" t="n">
        <f aca="false">IFERROR((($J$153*F$181+$J$156)*(1-$K$158))/($E$14+(($C183-$E$3)*$E$5)),"n/m")</f>
        <v>1.76234102480495</v>
      </c>
      <c r="G183" s="124" t="n">
        <f aca="false">IFERROR((($J$153*G$181+$J$156)*(1-$K$158))/($E$14+(($C183-$E$3)*$E$5)),"n/m")</f>
        <v>2.011288085242</v>
      </c>
      <c r="H183" s="125" t="n">
        <f aca="false">IFERROR((($J$153*H$181+$J$156)*(1-$K$158))/($E$14+(($C183-$E$3)*$E$5)),"n/m")</f>
        <v>2.26023514567905</v>
      </c>
    </row>
    <row r="184" customFormat="false" ht="12.75" hidden="false" customHeight="false" outlineLevel="0" collapsed="false">
      <c r="B184" s="61" t="s">
        <v>425</v>
      </c>
      <c r="C184" s="96" t="n">
        <v>12</v>
      </c>
      <c r="D184" s="123" t="n">
        <f aca="false">IFERROR((($J$153*D$181+$J$156)*(1-$K$158))/($E$14+(($C184-$E$3)*$E$5)),"n/m")</f>
        <v>1.05806450651285</v>
      </c>
      <c r="E184" s="124" t="n">
        <f aca="false">IFERROR((($J$153*E$181+$J$156)*(1-$K$158))/($E$14+(($C184-$E$3)*$E$5)),"n/m")</f>
        <v>1.26637855104117</v>
      </c>
      <c r="F184" s="126" t="n">
        <f aca="false">IFERROR((($J$153*F$181+$J$156)*(1-$K$158))/($E$14+(($C184-$E$3)*$E$5)),"n/m")</f>
        <v>1.47469259556949</v>
      </c>
      <c r="G184" s="124" t="n">
        <f aca="false">IFERROR((($J$153*G$181+$J$156)*(1-$K$158))/($E$14+(($C184-$E$3)*$E$5)),"n/m")</f>
        <v>1.68300664009781</v>
      </c>
      <c r="H184" s="125" t="n">
        <f aca="false">IFERROR((($J$153*H$181+$J$156)*(1-$K$158))/($E$14+(($C184-$E$3)*$E$5)),"n/m")</f>
        <v>1.89132068462613</v>
      </c>
    </row>
    <row r="185" customFormat="false" ht="12.75" hidden="false" customHeight="false" outlineLevel="0" collapsed="false">
      <c r="C185" s="96" t="n">
        <v>13</v>
      </c>
      <c r="D185" s="123" t="n">
        <f aca="false">IFERROR((($J$153*D$181+$J$156)*(1-$K$158))/($E$14+(($C185-$E$3)*$E$5)),"n/m")</f>
        <v>0.909600038694071</v>
      </c>
      <c r="E185" s="124" t="n">
        <f aca="false">IFERROR((($J$153*E$181+$J$156)*(1-$K$158))/($E$14+(($C185-$E$3)*$E$5)),"n/m")</f>
        <v>1.08868407543959</v>
      </c>
      <c r="F185" s="124" t="n">
        <f aca="false">IFERROR((($J$153*F$181+$J$156)*(1-$K$158))/($E$14+(($C185-$E$3)*$E$5)),"n/m")</f>
        <v>1.26776811218512</v>
      </c>
      <c r="G185" s="124" t="n">
        <f aca="false">IFERROR((($J$153*G$181+$J$156)*(1-$K$158))/($E$14+(($C185-$E$3)*$E$5)),"n/m")</f>
        <v>1.44685214893064</v>
      </c>
      <c r="H185" s="125" t="n">
        <f aca="false">IFERROR((($J$153*H$181+$J$156)*(1-$K$158))/($E$14+(($C185-$E$3)*$E$5)),"n/m")</f>
        <v>1.62593618567616</v>
      </c>
    </row>
    <row r="186" customFormat="false" ht="12.75" hidden="false" customHeight="false" outlineLevel="0" collapsed="false">
      <c r="C186" s="96" t="n">
        <v>14</v>
      </c>
      <c r="D186" s="127" t="n">
        <f aca="false">IFERROR((($J$153*D$181+$J$156)*(1-$K$158))/($E$14+(($C186-$E$3)*$E$5)),"n/m")</f>
        <v>0.797672941586881</v>
      </c>
      <c r="E186" s="128" t="n">
        <f aca="false">IFERROR((($J$153*E$181+$J$156)*(1-$K$158))/($E$14+(($C186-$E$3)*$E$5)),"n/m")</f>
        <v>0.95472052767444</v>
      </c>
      <c r="F186" s="128" t="n">
        <f aca="false">IFERROR((($J$153*F$181+$J$156)*(1-$K$158))/($E$14+(($C186-$E$3)*$E$5)),"n/m")</f>
        <v>1.111768113762</v>
      </c>
      <c r="G186" s="128" t="n">
        <f aca="false">IFERROR((($J$153*G$181+$J$156)*(1-$K$158))/($E$14+(($C186-$E$3)*$E$5)),"n/m")</f>
        <v>1.26881569984956</v>
      </c>
      <c r="H186" s="129" t="n">
        <f aca="false">IFERROR((($J$153*H$181+$J$156)*(1-$K$158))/($E$14+(($C186-$E$3)*$E$5)),"n/m")</f>
        <v>1.42586328593712</v>
      </c>
    </row>
    <row r="188" customFormat="false" ht="12.75" hidden="false" customHeight="false" outlineLevel="0" collapsed="false">
      <c r="A188" s="61" t="s">
        <v>348</v>
      </c>
      <c r="B188" s="85" t="s">
        <v>427</v>
      </c>
      <c r="C188" s="85"/>
      <c r="D188" s="85"/>
      <c r="E188" s="85"/>
      <c r="F188" s="85"/>
      <c r="G188" s="85"/>
      <c r="H188" s="85"/>
      <c r="I188" s="85"/>
      <c r="J188" s="85"/>
    </row>
    <row r="189" customFormat="false" ht="12.75" hidden="false" customHeight="false" outlineLevel="0" collapsed="false">
      <c r="E189" s="130" t="n">
        <v>2024</v>
      </c>
      <c r="F189" s="130" t="n">
        <v>2029</v>
      </c>
      <c r="G189" s="130" t="s">
        <v>411</v>
      </c>
      <c r="H189" s="130" t="s">
        <v>425</v>
      </c>
      <c r="I189" s="130" t="s">
        <v>428</v>
      </c>
      <c r="J189" s="130" t="s">
        <v>429</v>
      </c>
    </row>
    <row r="190" customFormat="false" ht="12.75" hidden="false" customHeight="false" outlineLevel="0" collapsed="false">
      <c r="B190" s="61" t="s">
        <v>430</v>
      </c>
      <c r="E190" s="75"/>
      <c r="F190" s="75"/>
      <c r="G190" s="75"/>
      <c r="H190" s="75"/>
      <c r="I190" s="75" t="n">
        <f aca="false">+E14</f>
        <v>2400.6875</v>
      </c>
    </row>
    <row r="191" customFormat="false" ht="12.75" hidden="false" customHeight="false" outlineLevel="0" collapsed="false">
      <c r="E191" s="75"/>
      <c r="F191" s="75"/>
      <c r="G191" s="75"/>
      <c r="H191" s="75"/>
      <c r="I191" s="75"/>
    </row>
    <row r="192" customFormat="false" ht="12.75" hidden="false" customHeight="false" outlineLevel="0" collapsed="false">
      <c r="B192" s="93" t="s">
        <v>431</v>
      </c>
      <c r="E192" s="75"/>
      <c r="F192" s="75"/>
      <c r="G192" s="75"/>
      <c r="H192" s="75"/>
      <c r="I192" s="75"/>
    </row>
    <row r="193" customFormat="false" ht="12.75" hidden="false" customHeight="false" outlineLevel="0" collapsed="false">
      <c r="B193" s="61" t="s">
        <v>432</v>
      </c>
      <c r="E193" s="75" t="n">
        <f aca="false">+E62</f>
        <v>0</v>
      </c>
      <c r="F193" s="75" t="n">
        <f aca="false">J62</f>
        <v>50</v>
      </c>
      <c r="G193" s="75" t="n">
        <f aca="false">+F193-E193</f>
        <v>50</v>
      </c>
      <c r="H193" s="76" t="n">
        <v>1</v>
      </c>
      <c r="I193" s="75" t="n">
        <f aca="false">+G193*H193</f>
        <v>50</v>
      </c>
      <c r="J193" s="114" t="n">
        <f aca="false">+I193/$I$202</f>
        <v>0.0447778037128656</v>
      </c>
    </row>
    <row r="194" customFormat="false" ht="12.75" hidden="false" customHeight="false" outlineLevel="0" collapsed="false">
      <c r="B194" s="61" t="s">
        <v>389</v>
      </c>
      <c r="E194" s="75" t="n">
        <f aca="false">+E67</f>
        <v>2475</v>
      </c>
      <c r="F194" s="75" t="n">
        <f aca="false">+J67</f>
        <v>2051.6281646953</v>
      </c>
      <c r="G194" s="75" t="n">
        <f aca="false">+E194-F194</f>
        <v>423.371835304704</v>
      </c>
      <c r="H194" s="76" t="n">
        <v>1</v>
      </c>
      <c r="I194" s="75" t="n">
        <f aca="false">+G194*H194</f>
        <v>423.371835304704</v>
      </c>
      <c r="J194" s="114" t="n">
        <f aca="false">+I194/$I$202</f>
        <v>0.379153218776594</v>
      </c>
    </row>
    <row r="195" customFormat="false" ht="12.75" hidden="false" customHeight="false" outlineLevel="0" collapsed="false">
      <c r="B195" s="61" t="s">
        <v>433</v>
      </c>
      <c r="E195" s="75" t="n">
        <f aca="false">+E31</f>
        <v>400</v>
      </c>
      <c r="F195" s="75" t="n">
        <f aca="false">J31</f>
        <v>510.512625</v>
      </c>
      <c r="G195" s="75" t="n">
        <f aca="false">+F195-E195</f>
        <v>110.512625</v>
      </c>
      <c r="H195" s="76" t="n">
        <f aca="false">E4</f>
        <v>11</v>
      </c>
      <c r="I195" s="75" t="n">
        <f aca="false">+G195*H195</f>
        <v>1215.638875</v>
      </c>
      <c r="J195" s="114" t="n">
        <f aca="false">+I195/$I$202</f>
        <v>1.08867277860958</v>
      </c>
    </row>
    <row r="196" customFormat="false" ht="12.75" hidden="false" customHeight="false" outlineLevel="0" collapsed="false">
      <c r="B196" s="61" t="s">
        <v>434</v>
      </c>
      <c r="E196" s="75" t="n">
        <f aca="false">+E3</f>
        <v>11.875</v>
      </c>
      <c r="F196" s="75" t="n">
        <f aca="false">+E4</f>
        <v>11</v>
      </c>
      <c r="G196" s="75" t="n">
        <f aca="false">+F196-E196</f>
        <v>-0.875</v>
      </c>
      <c r="H196" s="75" t="n">
        <f aca="false">+F195</f>
        <v>510.512625</v>
      </c>
      <c r="I196" s="75" t="n">
        <f aca="false">+G196*H196</f>
        <v>-446.698546875</v>
      </c>
      <c r="J196" s="114" t="n">
        <f aca="false">+I196/$I$202</f>
        <v>-0.400043597015821</v>
      </c>
    </row>
    <row r="197" customFormat="false" ht="12.75" hidden="false" customHeight="false" outlineLevel="0" collapsed="false">
      <c r="B197" s="81" t="s">
        <v>435</v>
      </c>
      <c r="C197" s="81"/>
      <c r="D197" s="81"/>
      <c r="E197" s="82"/>
      <c r="F197" s="82"/>
      <c r="G197" s="82"/>
      <c r="H197" s="82"/>
      <c r="I197" s="82" t="n">
        <f aca="false">SUM(I193:I196)</f>
        <v>1242.31216342971</v>
      </c>
      <c r="J197" s="107" t="n">
        <f aca="false">SUM(J193:J196)</f>
        <v>1.11256020408322</v>
      </c>
    </row>
    <row r="198" customFormat="false" ht="12.75" hidden="false" customHeight="false" outlineLevel="0" collapsed="false">
      <c r="B198" s="61" t="s">
        <v>436</v>
      </c>
      <c r="E198" s="75"/>
      <c r="F198" s="75"/>
      <c r="G198" s="75"/>
      <c r="H198" s="75"/>
      <c r="I198" s="75" t="n">
        <f aca="false">+-J12</f>
        <v>-70</v>
      </c>
      <c r="J198" s="114" t="n">
        <f aca="false">+I198/$I$202</f>
        <v>-0.0626889251980119</v>
      </c>
    </row>
    <row r="199" customFormat="false" ht="12.75" hidden="false" customHeight="false" outlineLevel="0" collapsed="false">
      <c r="B199" s="61" t="s">
        <v>437</v>
      </c>
      <c r="E199" s="75"/>
      <c r="F199" s="75"/>
      <c r="G199" s="75"/>
      <c r="H199" s="75"/>
      <c r="I199" s="75" t="n">
        <f aca="false">+-J13</f>
        <v>-55.6875</v>
      </c>
      <c r="J199" s="114" t="n">
        <f aca="false">+I199/$I$202</f>
        <v>-0.0498712788852041</v>
      </c>
    </row>
    <row r="200" customFormat="false" ht="12.75" hidden="false" customHeight="false" outlineLevel="0" collapsed="false">
      <c r="B200" s="81" t="s">
        <v>438</v>
      </c>
      <c r="C200" s="81"/>
      <c r="D200" s="81"/>
      <c r="E200" s="82"/>
      <c r="F200" s="82"/>
      <c r="G200" s="82"/>
      <c r="H200" s="82"/>
      <c r="I200" s="82" t="n">
        <f aca="false">SUM(I197:I199)</f>
        <v>1116.62466342971</v>
      </c>
      <c r="J200" s="107" t="n">
        <f aca="false">SUM(J197:J199)</f>
        <v>1</v>
      </c>
    </row>
    <row r="201" customFormat="false" ht="12.75" hidden="false" customHeight="false" outlineLevel="0" collapsed="false">
      <c r="B201" s="61" t="s">
        <v>439</v>
      </c>
      <c r="E201" s="75"/>
      <c r="F201" s="75"/>
      <c r="G201" s="75"/>
      <c r="H201" s="75"/>
      <c r="I201" s="75" t="n">
        <f aca="false">+-I200*K158</f>
        <v>-0</v>
      </c>
      <c r="J201" s="114" t="n">
        <f aca="false">+I201/$I$202</f>
        <v>-0</v>
      </c>
    </row>
    <row r="202" customFormat="false" ht="12.75" hidden="false" customHeight="false" outlineLevel="0" collapsed="false">
      <c r="B202" s="81" t="s">
        <v>440</v>
      </c>
      <c r="C202" s="81"/>
      <c r="D202" s="81"/>
      <c r="E202" s="82"/>
      <c r="F202" s="82"/>
      <c r="G202" s="82"/>
      <c r="H202" s="82"/>
      <c r="I202" s="82" t="n">
        <f aca="false">SUM(I200:I201)</f>
        <v>1116.62466342971</v>
      </c>
      <c r="J202" s="107" t="n">
        <f aca="false">SUM(J200:J201)</f>
        <v>1</v>
      </c>
    </row>
    <row r="203" customFormat="false" ht="12.75" hidden="false" customHeight="false" outlineLevel="0" collapsed="false">
      <c r="E203" s="75"/>
      <c r="F203" s="75"/>
      <c r="G203" s="75"/>
      <c r="H203" s="75"/>
      <c r="I203" s="75"/>
    </row>
    <row r="204" customFormat="false" ht="12.75" hidden="false" customHeight="false" outlineLevel="0" collapsed="false">
      <c r="B204" s="61" t="s">
        <v>441</v>
      </c>
      <c r="E204" s="75"/>
      <c r="F204" s="75"/>
      <c r="G204" s="75"/>
      <c r="H204" s="75"/>
      <c r="I204" s="75" t="n">
        <f aca="false">+I190+I202</f>
        <v>3517.31216342971</v>
      </c>
    </row>
    <row r="205" customFormat="false" ht="12.75" hidden="false" customHeight="false" outlineLevel="0" collapsed="false">
      <c r="B205" s="61" t="s">
        <v>442</v>
      </c>
      <c r="E205" s="75"/>
      <c r="F205" s="75"/>
      <c r="G205" s="75"/>
      <c r="H205" s="75"/>
      <c r="I205" s="75" t="n">
        <f aca="false">+J159</f>
        <v>3614.01071030471</v>
      </c>
    </row>
    <row r="207" s="131" customFormat="true" ht="12.75" hidden="false" customHeight="false" outlineLevel="0" collapsed="false">
      <c r="A207" s="131" t="s">
        <v>348</v>
      </c>
      <c r="B207" s="131" t="s">
        <v>443</v>
      </c>
      <c r="I207" s="132" t="n">
        <f aca="false">I204-I205</f>
        <v>-96.6985468750004</v>
      </c>
    </row>
  </sheetData>
  <mergeCells count="6">
    <mergeCell ref="B2:J2"/>
    <mergeCell ref="B10:E10"/>
    <mergeCell ref="G10:J10"/>
    <mergeCell ref="B17:E17"/>
    <mergeCell ref="D172:H172"/>
    <mergeCell ref="D180:H1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2.75" zeroHeight="false" outlineLevelRow="0" outlineLevelCol="0"/>
  <cols>
    <col collapsed="false" customWidth="true" hidden="false" outlineLevel="0" max="1" min="1" style="61" width="2.82"/>
    <col collapsed="false" customWidth="true" hidden="false" outlineLevel="0" max="2" min="2" style="61" width="11.54"/>
    <col collapsed="false" customWidth="false" hidden="false" outlineLevel="0" max="16384" min="3" style="61" width="8.73"/>
  </cols>
  <sheetData>
    <row r="1" customFormat="false" ht="16.15" hidden="false" customHeight="false" outlineLevel="0" collapsed="false">
      <c r="B1" s="62" t="s">
        <v>444</v>
      </c>
    </row>
    <row r="2" customFormat="false" ht="12.75" hidden="false" customHeight="false" outlineLevel="0" collapsed="false">
      <c r="B2" s="63" t="s">
        <v>315</v>
      </c>
      <c r="C2" s="63"/>
      <c r="D2" s="63"/>
      <c r="E2" s="63"/>
      <c r="F2" s="63"/>
      <c r="G2" s="63"/>
      <c r="H2" s="63"/>
      <c r="I2" s="63"/>
      <c r="J2" s="63"/>
      <c r="L2" s="14" t="s">
        <v>316</v>
      </c>
    </row>
    <row r="3" customFormat="false" ht="137.3" hidden="false" customHeight="false" outlineLevel="0" collapsed="false">
      <c r="B3" s="61" t="s">
        <v>317</v>
      </c>
      <c r="E3" s="64" t="n">
        <v>10</v>
      </c>
      <c r="G3" s="61" t="s">
        <v>318</v>
      </c>
      <c r="I3" s="64" t="n">
        <v>4.724</v>
      </c>
      <c r="J3" s="65" t="n">
        <v>0.0225</v>
      </c>
      <c r="L3" s="2" t="s">
        <v>445</v>
      </c>
    </row>
    <row r="4" customFormat="false" ht="85.05" hidden="false" customHeight="false" outlineLevel="0" collapsed="false">
      <c r="B4" s="61" t="s">
        <v>320</v>
      </c>
      <c r="E4" s="64" t="n">
        <v>11.875</v>
      </c>
      <c r="G4" s="61" t="s">
        <v>321</v>
      </c>
      <c r="I4" s="64" t="n">
        <v>2.138</v>
      </c>
      <c r="J4" s="65" t="n">
        <v>0.0225</v>
      </c>
      <c r="L4" s="2" t="s">
        <v>446</v>
      </c>
    </row>
    <row r="5" customFormat="false" ht="231.3" hidden="false" customHeight="false" outlineLevel="0" collapsed="false">
      <c r="B5" s="61" t="s">
        <v>323</v>
      </c>
      <c r="E5" s="66" t="n">
        <v>290</v>
      </c>
      <c r="G5" s="61" t="s">
        <v>324</v>
      </c>
      <c r="I5" s="67" t="n">
        <v>365</v>
      </c>
      <c r="L5" s="2" t="s">
        <v>325</v>
      </c>
    </row>
    <row r="6" customFormat="false" ht="179.1" hidden="false" customHeight="false" outlineLevel="0" collapsed="false">
      <c r="B6" s="61" t="s">
        <v>326</v>
      </c>
      <c r="E6" s="68" t="n">
        <v>7</v>
      </c>
      <c r="G6" s="61" t="s">
        <v>327</v>
      </c>
      <c r="I6" s="69" t="n">
        <v>0.25</v>
      </c>
      <c r="L6" s="2" t="s">
        <v>328</v>
      </c>
    </row>
    <row r="7" customFormat="false" ht="408.2" hidden="false" customHeight="false" outlineLevel="0" collapsed="false">
      <c r="B7" s="61" t="s">
        <v>329</v>
      </c>
      <c r="E7" s="68" t="n">
        <v>15</v>
      </c>
      <c r="L7" s="2" t="s">
        <v>330</v>
      </c>
    </row>
    <row r="8" customFormat="false" ht="179.1" hidden="false" customHeight="false" outlineLevel="0" collapsed="false">
      <c r="B8" s="61" t="s">
        <v>331</v>
      </c>
      <c r="E8" s="70" t="n">
        <v>0.1</v>
      </c>
      <c r="G8" s="71" t="s">
        <v>332</v>
      </c>
      <c r="H8" s="72"/>
      <c r="I8" s="73" t="n">
        <v>1</v>
      </c>
      <c r="J8" s="74" t="s">
        <v>333</v>
      </c>
      <c r="L8" s="2" t="s">
        <v>334</v>
      </c>
    </row>
    <row r="10" customFormat="false" ht="12.75" hidden="false" customHeight="false" outlineLevel="0" collapsed="false">
      <c r="B10" s="63" t="s">
        <v>79</v>
      </c>
      <c r="C10" s="63"/>
      <c r="D10" s="63"/>
      <c r="E10" s="63"/>
      <c r="G10" s="63" t="s">
        <v>80</v>
      </c>
      <c r="H10" s="63"/>
      <c r="I10" s="63"/>
      <c r="J10" s="63"/>
    </row>
    <row r="11" customFormat="false" ht="12.75" hidden="false" customHeight="false" outlineLevel="0" collapsed="false">
      <c r="B11" s="61" t="s">
        <v>335</v>
      </c>
      <c r="E11" s="75" t="n">
        <f aca="false">+I3*$E$5</f>
        <v>1369.96</v>
      </c>
      <c r="G11" s="61" t="s">
        <v>336</v>
      </c>
      <c r="J11" s="75" t="n">
        <f aca="false">+E18</f>
        <v>2900</v>
      </c>
    </row>
    <row r="12" customFormat="false" ht="12.75" hidden="false" customHeight="false" outlineLevel="0" collapsed="false">
      <c r="B12" s="61" t="s">
        <v>337</v>
      </c>
      <c r="E12" s="75" t="n">
        <f aca="false">+I4*$E$5</f>
        <v>620.02</v>
      </c>
      <c r="G12" s="61" t="s">
        <v>338</v>
      </c>
      <c r="J12" s="66" t="n">
        <v>45</v>
      </c>
    </row>
    <row r="13" customFormat="false" ht="12.75" hidden="false" customHeight="false" outlineLevel="0" collapsed="false">
      <c r="B13" s="61" t="s">
        <v>339</v>
      </c>
      <c r="E13" s="75" t="n">
        <f aca="false">+E18*E8</f>
        <v>290</v>
      </c>
      <c r="G13" s="61" t="s">
        <v>340</v>
      </c>
      <c r="J13" s="76" t="n">
        <f aca="false">+J3*E11+J4*E12</f>
        <v>44.77455</v>
      </c>
    </row>
    <row r="14" customFormat="false" ht="12.75" hidden="false" customHeight="false" outlineLevel="0" collapsed="false">
      <c r="B14" s="61" t="s">
        <v>341</v>
      </c>
      <c r="E14" s="75" t="n">
        <f aca="false">E15-SUM(E11:E13)</f>
        <v>709.79455</v>
      </c>
      <c r="J14" s="75"/>
    </row>
    <row r="15" customFormat="false" ht="12.75" hidden="false" customHeight="false" outlineLevel="0" collapsed="false">
      <c r="B15" s="77" t="s">
        <v>92</v>
      </c>
      <c r="C15" s="77"/>
      <c r="D15" s="77"/>
      <c r="E15" s="78" t="n">
        <f aca="false">J15</f>
        <v>2989.77455</v>
      </c>
      <c r="G15" s="77" t="s">
        <v>93</v>
      </c>
      <c r="H15" s="77"/>
      <c r="I15" s="77"/>
      <c r="J15" s="78" t="n">
        <f aca="false">SUM(J11:J14)</f>
        <v>2989.77455</v>
      </c>
    </row>
    <row r="17" customFormat="false" ht="12.75" hidden="false" customHeight="false" outlineLevel="0" collapsed="false">
      <c r="B17" s="63" t="s">
        <v>342</v>
      </c>
      <c r="C17" s="63"/>
      <c r="D17" s="63"/>
      <c r="E17" s="63"/>
      <c r="G17" s="79"/>
    </row>
    <row r="18" customFormat="false" ht="12.75" hidden="false" customHeight="false" outlineLevel="0" collapsed="false">
      <c r="B18" s="61" t="s">
        <v>85</v>
      </c>
      <c r="E18" s="75" t="n">
        <f aca="false">+E3*E5</f>
        <v>2900</v>
      </c>
      <c r="G18" s="80"/>
    </row>
    <row r="19" customFormat="false" ht="12.75" hidden="false" customHeight="false" outlineLevel="0" collapsed="false">
      <c r="B19" s="61" t="s">
        <v>343</v>
      </c>
      <c r="E19" s="66" t="n">
        <v>-450</v>
      </c>
      <c r="G19" s="79"/>
    </row>
    <row r="20" customFormat="false" ht="12.75" hidden="false" customHeight="false" outlineLevel="0" collapsed="false">
      <c r="B20" s="81" t="s">
        <v>344</v>
      </c>
      <c r="C20" s="81"/>
      <c r="D20" s="81"/>
      <c r="E20" s="82" t="n">
        <f aca="false">SUM(E18:E19)</f>
        <v>2450</v>
      </c>
      <c r="G20" s="79"/>
    </row>
    <row r="21" customFormat="false" ht="12.75" hidden="false" customHeight="false" outlineLevel="0" collapsed="false">
      <c r="B21" s="61" t="s">
        <v>345</v>
      </c>
      <c r="D21" s="69" t="n">
        <v>0.1</v>
      </c>
      <c r="E21" s="75" t="n">
        <f aca="false">+-E20*D21</f>
        <v>-245</v>
      </c>
      <c r="G21" s="79"/>
    </row>
    <row r="22" customFormat="false" ht="12.75" hidden="false" customHeight="false" outlineLevel="0" collapsed="false">
      <c r="B22" s="61" t="s">
        <v>346</v>
      </c>
      <c r="D22" s="69" t="n">
        <v>0.25</v>
      </c>
      <c r="E22" s="75" t="n">
        <f aca="false">+-E21*D22</f>
        <v>61.25</v>
      </c>
      <c r="G22" s="79"/>
    </row>
    <row r="23" customFormat="false" ht="12.75" hidden="false" customHeight="false" outlineLevel="0" collapsed="false">
      <c r="B23" s="83" t="s">
        <v>347</v>
      </c>
      <c r="C23" s="83"/>
      <c r="D23" s="83"/>
      <c r="E23" s="84" t="n">
        <f aca="false">SUM(E20:E22)</f>
        <v>2266.25</v>
      </c>
    </row>
    <row r="25" customFormat="false" ht="12.75" hidden="false" customHeight="false" outlineLevel="0" collapsed="false">
      <c r="A25" s="61" t="s">
        <v>348</v>
      </c>
      <c r="B25" s="85" t="s">
        <v>349</v>
      </c>
      <c r="C25" s="85"/>
      <c r="D25" s="85"/>
      <c r="E25" s="85" t="n">
        <v>2018</v>
      </c>
      <c r="F25" s="85" t="n">
        <f aca="false">E25+1</f>
        <v>2019</v>
      </c>
      <c r="G25" s="85" t="n">
        <f aca="false">F25+1</f>
        <v>2020</v>
      </c>
      <c r="H25" s="85" t="n">
        <f aca="false">G25+1</f>
        <v>2021</v>
      </c>
      <c r="I25" s="85" t="n">
        <f aca="false">H25+1</f>
        <v>2022</v>
      </c>
      <c r="J25" s="85" t="n">
        <f aca="false">I25+1</f>
        <v>2023</v>
      </c>
    </row>
    <row r="26" customFormat="false" ht="12.75" hidden="false" customHeight="false" outlineLevel="0" collapsed="false">
      <c r="B26" s="86" t="s">
        <v>117</v>
      </c>
      <c r="C26" s="86"/>
      <c r="D26" s="86"/>
      <c r="E26" s="84" t="n">
        <f aca="false">+E31/E32</f>
        <v>2000</v>
      </c>
      <c r="F26" s="84" t="n">
        <f aca="false">+E26*(1+F27)</f>
        <v>2132</v>
      </c>
      <c r="G26" s="84" t="n">
        <f aca="false">+F26*(1+G27)</f>
        <v>2272.712</v>
      </c>
      <c r="H26" s="84" t="n">
        <f aca="false">+G26*(1+H27)</f>
        <v>2422.710992</v>
      </c>
      <c r="I26" s="84" t="n">
        <f aca="false">+H26*(1+I27)</f>
        <v>2582.609917472</v>
      </c>
      <c r="J26" s="84" t="n">
        <f aca="false">+I26*(1+J27)</f>
        <v>2753.06217202515</v>
      </c>
    </row>
    <row r="27" customFormat="false" ht="12.75" hidden="false" customHeight="false" outlineLevel="0" collapsed="false">
      <c r="B27" s="87" t="s">
        <v>350</v>
      </c>
      <c r="F27" s="69" t="n">
        <v>0.066</v>
      </c>
      <c r="G27" s="88" t="n">
        <f aca="false">+F27</f>
        <v>0.066</v>
      </c>
      <c r="H27" s="88" t="n">
        <f aca="false">+G27</f>
        <v>0.066</v>
      </c>
      <c r="I27" s="88" t="n">
        <f aca="false">+H27</f>
        <v>0.066</v>
      </c>
      <c r="J27" s="88" t="n">
        <f aca="false">+I27</f>
        <v>0.066</v>
      </c>
    </row>
    <row r="28" customFormat="false" ht="12.75" hidden="false" customHeight="false" outlineLevel="0" collapsed="false">
      <c r="B28" s="61" t="s">
        <v>351</v>
      </c>
      <c r="E28" s="75" t="n">
        <f aca="false">E29-E26</f>
        <v>-1200</v>
      </c>
      <c r="F28" s="75" t="n">
        <f aca="false">F29-F26</f>
        <v>-1279.2</v>
      </c>
      <c r="G28" s="75" t="n">
        <f aca="false">G29-G26</f>
        <v>-1363.6272</v>
      </c>
      <c r="H28" s="75" t="n">
        <f aca="false">H29-H26</f>
        <v>-1453.6265952</v>
      </c>
      <c r="I28" s="75" t="n">
        <f aca="false">I29-I26</f>
        <v>-1549.5659504832</v>
      </c>
      <c r="J28" s="75" t="n">
        <f aca="false">J29-J26</f>
        <v>-1651.83730321509</v>
      </c>
    </row>
    <row r="29" customFormat="false" ht="12.75" hidden="false" customHeight="false" outlineLevel="0" collapsed="false">
      <c r="B29" s="83" t="s">
        <v>352</v>
      </c>
      <c r="C29" s="83"/>
      <c r="D29" s="83"/>
      <c r="E29" s="84" t="n">
        <f aca="false">+E26*E30</f>
        <v>800</v>
      </c>
      <c r="F29" s="84" t="n">
        <f aca="false">+F26*F30</f>
        <v>852.8</v>
      </c>
      <c r="G29" s="84" t="n">
        <f aca="false">+G26*G30</f>
        <v>909.0848</v>
      </c>
      <c r="H29" s="84" t="n">
        <f aca="false">+H26*H30</f>
        <v>969.0843968</v>
      </c>
      <c r="I29" s="84" t="n">
        <f aca="false">+I26*I30</f>
        <v>1033.0439669888</v>
      </c>
      <c r="J29" s="84" t="n">
        <f aca="false">+J26*J30</f>
        <v>1101.22486881006</v>
      </c>
    </row>
    <row r="30" customFormat="false" ht="12.75" hidden="false" customHeight="false" outlineLevel="0" collapsed="false">
      <c r="B30" s="87" t="s">
        <v>353</v>
      </c>
      <c r="E30" s="69" t="n">
        <v>0.4</v>
      </c>
      <c r="F30" s="88" t="n">
        <f aca="false">+E30</f>
        <v>0.4</v>
      </c>
      <c r="G30" s="88" t="n">
        <f aca="false">+F30</f>
        <v>0.4</v>
      </c>
      <c r="H30" s="88" t="n">
        <f aca="false">+G30</f>
        <v>0.4</v>
      </c>
      <c r="I30" s="88" t="n">
        <f aca="false">+H30</f>
        <v>0.4</v>
      </c>
      <c r="J30" s="88" t="n">
        <f aca="false">+I30</f>
        <v>0.4</v>
      </c>
    </row>
    <row r="31" customFormat="false" ht="12.75" hidden="false" customHeight="false" outlineLevel="0" collapsed="false">
      <c r="B31" s="86" t="s">
        <v>125</v>
      </c>
      <c r="C31" s="86"/>
      <c r="D31" s="86"/>
      <c r="E31" s="89" t="n">
        <f aca="false">+E5</f>
        <v>290</v>
      </c>
      <c r="F31" s="89" t="n">
        <f aca="false">+F26*F32</f>
        <v>309.14</v>
      </c>
      <c r="G31" s="89" t="n">
        <f aca="false">+G26*G32</f>
        <v>329.54324</v>
      </c>
      <c r="H31" s="89" t="n">
        <f aca="false">+H26*H32</f>
        <v>351.29309384</v>
      </c>
      <c r="I31" s="89" t="n">
        <f aca="false">+I26*I32</f>
        <v>374.47843803344</v>
      </c>
      <c r="J31" s="89" t="n">
        <f aca="false">+J26*J32</f>
        <v>399.194014943647</v>
      </c>
    </row>
    <row r="32" customFormat="false" ht="12.75" hidden="false" customHeight="false" outlineLevel="0" collapsed="false">
      <c r="B32" s="90" t="s">
        <v>354</v>
      </c>
      <c r="E32" s="69" t="n">
        <v>0.145</v>
      </c>
      <c r="F32" s="88" t="n">
        <f aca="false">+E32</f>
        <v>0.145</v>
      </c>
      <c r="G32" s="88" t="n">
        <f aca="false">+F32</f>
        <v>0.145</v>
      </c>
      <c r="H32" s="88" t="n">
        <f aca="false">+G32</f>
        <v>0.145</v>
      </c>
      <c r="I32" s="88" t="n">
        <f aca="false">+H32</f>
        <v>0.145</v>
      </c>
      <c r="J32" s="88" t="n">
        <f aca="false">+I32</f>
        <v>0.145</v>
      </c>
    </row>
    <row r="33" customFormat="false" ht="12.75" hidden="false" customHeight="false" outlineLevel="0" collapsed="false">
      <c r="B33" s="61" t="s">
        <v>136</v>
      </c>
      <c r="F33" s="75" t="n">
        <f aca="false">+-F26*F46+F42</f>
        <v>-80.2933333333333</v>
      </c>
      <c r="G33" s="75" t="n">
        <f aca="false">+-G26*G46+G42</f>
        <v>-84.5146933333333</v>
      </c>
      <c r="H33" s="75" t="n">
        <f aca="false">+-H26*H46+H42</f>
        <v>-89.0146630933334</v>
      </c>
      <c r="I33" s="75" t="n">
        <f aca="false">+-I26*I46+I42</f>
        <v>-93.8116308574933</v>
      </c>
      <c r="J33" s="75" t="n">
        <f aca="false">+-J26*J46+J42</f>
        <v>-98.9251984940879</v>
      </c>
    </row>
    <row r="34" customFormat="false" ht="12.75" hidden="false" customHeight="false" outlineLevel="0" collapsed="false">
      <c r="B34" s="83" t="s">
        <v>137</v>
      </c>
      <c r="C34" s="83"/>
      <c r="D34" s="83"/>
      <c r="E34" s="83"/>
      <c r="F34" s="84" t="n">
        <f aca="false">+F31+F33</f>
        <v>228.846666666667</v>
      </c>
      <c r="G34" s="84" t="n">
        <f aca="false">+G31+G33</f>
        <v>245.028546666667</v>
      </c>
      <c r="H34" s="84" t="n">
        <f aca="false">+H31+H33</f>
        <v>262.278430746667</v>
      </c>
      <c r="I34" s="84" t="n">
        <f aca="false">+I31+I33</f>
        <v>280.666807175947</v>
      </c>
      <c r="J34" s="84" t="n">
        <f aca="false">+J31+J33</f>
        <v>300.268816449559</v>
      </c>
    </row>
    <row r="35" customFormat="false" ht="12.75" hidden="false" customHeight="false" outlineLevel="0" collapsed="false">
      <c r="B35" s="61" t="s">
        <v>355</v>
      </c>
      <c r="F35" s="91" t="n">
        <f aca="false">+$I$8*F150</f>
        <v>-142.32475</v>
      </c>
      <c r="G35" s="91" t="n">
        <f aca="false">+$I$8*G150</f>
        <v>-141.398064310339</v>
      </c>
      <c r="H35" s="91" t="n">
        <f aca="false">+$I$8*H150</f>
        <v>-137.435342775723</v>
      </c>
      <c r="I35" s="91" t="n">
        <f aca="false">+$I$8*I150</f>
        <v>-132.596492563714</v>
      </c>
      <c r="J35" s="91" t="n">
        <f aca="false">+$I$8*J150</f>
        <v>-126.797185028561</v>
      </c>
    </row>
    <row r="36" customFormat="false" ht="12.75" hidden="false" customHeight="false" outlineLevel="0" collapsed="false">
      <c r="B36" s="61" t="s">
        <v>356</v>
      </c>
      <c r="F36" s="91" t="n">
        <f aca="false">+$I$8*F148</f>
        <v>0</v>
      </c>
      <c r="G36" s="91" t="n">
        <f aca="false">+$I$8*G148</f>
        <v>0.8</v>
      </c>
      <c r="H36" s="91" t="n">
        <f aca="false">+$I$8*H148</f>
        <v>0.8</v>
      </c>
      <c r="I36" s="91" t="n">
        <f aca="false">+$I$8*I148</f>
        <v>0.8</v>
      </c>
      <c r="J36" s="91" t="n">
        <f aca="false">+$I$8*J148</f>
        <v>0.8</v>
      </c>
    </row>
    <row r="37" customFormat="false" ht="12.75" hidden="false" customHeight="false" outlineLevel="0" collapsed="false">
      <c r="B37" s="61" t="s">
        <v>357</v>
      </c>
      <c r="F37" s="75" t="n">
        <f aca="false">+-$J$13/$E$6</f>
        <v>-6.39636428571429</v>
      </c>
      <c r="G37" s="75" t="n">
        <f aca="false">+-$J$13/$E$6</f>
        <v>-6.39636428571429</v>
      </c>
      <c r="H37" s="75" t="n">
        <f aca="false">+-$J$13/$E$6</f>
        <v>-6.39636428571429</v>
      </c>
      <c r="I37" s="75" t="n">
        <f aca="false">+-$J$13/$E$6</f>
        <v>-6.39636428571429</v>
      </c>
      <c r="J37" s="75" t="n">
        <f aca="false">+-$J$13/$E$6</f>
        <v>-6.39636428571429</v>
      </c>
    </row>
    <row r="38" customFormat="false" ht="12.75" hidden="false" customHeight="false" outlineLevel="0" collapsed="false">
      <c r="B38" s="83" t="s">
        <v>139</v>
      </c>
      <c r="C38" s="83"/>
      <c r="D38" s="83"/>
      <c r="E38" s="83"/>
      <c r="F38" s="84" t="n">
        <f aca="false">SUM(F34:F37)</f>
        <v>80.1255523809524</v>
      </c>
      <c r="G38" s="84" t="n">
        <f aca="false">SUM(G34:G37)</f>
        <v>98.0341180706132</v>
      </c>
      <c r="H38" s="84" t="n">
        <f aca="false">SUM(H34:H37)</f>
        <v>119.24672368523</v>
      </c>
      <c r="I38" s="84" t="n">
        <f aca="false">SUM(I34:I37)</f>
        <v>142.473950326518</v>
      </c>
      <c r="J38" s="84" t="n">
        <f aca="false">SUM(J34:J37)</f>
        <v>167.875267135284</v>
      </c>
    </row>
    <row r="39" customFormat="false" ht="12.75" hidden="false" customHeight="false" outlineLevel="0" collapsed="false">
      <c r="B39" s="61" t="s">
        <v>140</v>
      </c>
      <c r="F39" s="75" t="n">
        <f aca="false">+-F38*$I$6</f>
        <v>-20.0313880952381</v>
      </c>
      <c r="G39" s="75" t="n">
        <f aca="false">+-G38*$I$6</f>
        <v>-24.5085295176533</v>
      </c>
      <c r="H39" s="75" t="n">
        <f aca="false">+-H38*$I$6</f>
        <v>-29.8116809213074</v>
      </c>
      <c r="I39" s="75" t="n">
        <f aca="false">+-I38*$I$6</f>
        <v>-35.6184875816296</v>
      </c>
      <c r="J39" s="75" t="n">
        <f aca="false">+-J38*$I$6</f>
        <v>-41.9688167838211</v>
      </c>
    </row>
    <row r="40" customFormat="false" ht="12.75" hidden="false" customHeight="false" outlineLevel="0" collapsed="false">
      <c r="B40" s="83" t="s">
        <v>141</v>
      </c>
      <c r="C40" s="83"/>
      <c r="D40" s="83"/>
      <c r="E40" s="83"/>
      <c r="F40" s="84" t="n">
        <f aca="false">SUM(F38:F39)</f>
        <v>60.0941642857143</v>
      </c>
      <c r="G40" s="84" t="n">
        <f aca="false">SUM(G38:G39)</f>
        <v>73.5255885529599</v>
      </c>
      <c r="H40" s="84" t="n">
        <f aca="false">SUM(H38:H39)</f>
        <v>89.4350427639223</v>
      </c>
      <c r="I40" s="84" t="n">
        <f aca="false">SUM(I38:I39)</f>
        <v>106.855462744889</v>
      </c>
      <c r="J40" s="84" t="n">
        <f aca="false">SUM(J38:J39)</f>
        <v>125.906450351463</v>
      </c>
    </row>
    <row r="41" customFormat="false" ht="12.75" hidden="false" customHeight="false" outlineLevel="0" collapsed="false">
      <c r="F41" s="75"/>
      <c r="G41" s="75"/>
      <c r="H41" s="75"/>
      <c r="I41" s="75"/>
      <c r="J41" s="75"/>
    </row>
    <row r="42" customFormat="false" ht="12.75" hidden="false" customHeight="false" outlineLevel="0" collapsed="false">
      <c r="B42" s="61" t="s">
        <v>358</v>
      </c>
      <c r="F42" s="75" t="n">
        <f aca="false">+$E$21/$E$7</f>
        <v>-16.3333333333333</v>
      </c>
      <c r="G42" s="75" t="n">
        <f aca="false">+$E$21/$E$7</f>
        <v>-16.3333333333333</v>
      </c>
      <c r="H42" s="75" t="n">
        <f aca="false">+$E$21/$E$7</f>
        <v>-16.3333333333333</v>
      </c>
      <c r="I42" s="75" t="n">
        <f aca="false">+$E$21/$E$7</f>
        <v>-16.3333333333333</v>
      </c>
      <c r="J42" s="75" t="n">
        <f aca="false">+$E$21/$E$7</f>
        <v>-16.3333333333333</v>
      </c>
    </row>
    <row r="43" customFormat="false" ht="12.75" hidden="false" customHeight="false" outlineLevel="0" collapsed="false">
      <c r="B43" s="61" t="s">
        <v>346</v>
      </c>
      <c r="F43" s="75" t="n">
        <f aca="false">+F42*$D$22</f>
        <v>-4.08333333333333</v>
      </c>
      <c r="G43" s="75" t="n">
        <f aca="false">+G42*$D$22</f>
        <v>-4.08333333333333</v>
      </c>
      <c r="H43" s="75" t="n">
        <f aca="false">+H42*$D$22</f>
        <v>-4.08333333333333</v>
      </c>
      <c r="I43" s="75" t="n">
        <f aca="false">+I42*$D$22</f>
        <v>-4.08333333333333</v>
      </c>
      <c r="J43" s="75" t="n">
        <f aca="false">+J42*$D$22</f>
        <v>-4.08333333333333</v>
      </c>
    </row>
    <row r="44" customFormat="false" ht="12.75" hidden="false" customHeight="false" outlineLevel="0" collapsed="false">
      <c r="B44" s="61" t="s">
        <v>359</v>
      </c>
      <c r="F44" s="75" t="n">
        <f aca="false">-F47*F33</f>
        <v>64.2346666666667</v>
      </c>
      <c r="G44" s="75" t="n">
        <f aca="false">-G47*G33</f>
        <v>67.6117546666667</v>
      </c>
      <c r="H44" s="75" t="n">
        <f aca="false">-H47*H33</f>
        <v>71.2117304746667</v>
      </c>
      <c r="I44" s="75" t="n">
        <f aca="false">-I47*I33</f>
        <v>75.0493046859947</v>
      </c>
      <c r="J44" s="75" t="n">
        <f aca="false">-J47*J33</f>
        <v>79.1401587952703</v>
      </c>
    </row>
    <row r="46" customFormat="false" ht="12.75" hidden="false" customHeight="false" outlineLevel="0" collapsed="false">
      <c r="B46" s="61" t="s">
        <v>360</v>
      </c>
      <c r="F46" s="69" t="n">
        <v>0.03</v>
      </c>
      <c r="G46" s="92" t="n">
        <f aca="false">+F46</f>
        <v>0.03</v>
      </c>
      <c r="H46" s="92" t="n">
        <f aca="false">+G46</f>
        <v>0.03</v>
      </c>
      <c r="I46" s="92" t="n">
        <f aca="false">+H46</f>
        <v>0.03</v>
      </c>
      <c r="J46" s="92" t="n">
        <f aca="false">+I46</f>
        <v>0.03</v>
      </c>
    </row>
    <row r="47" customFormat="false" ht="12.75" hidden="false" customHeight="false" outlineLevel="0" collapsed="false">
      <c r="B47" s="61" t="s">
        <v>361</v>
      </c>
      <c r="F47" s="69" t="n">
        <v>0.8</v>
      </c>
      <c r="G47" s="92" t="n">
        <f aca="false">+F47</f>
        <v>0.8</v>
      </c>
      <c r="H47" s="92" t="n">
        <f aca="false">+G47</f>
        <v>0.8</v>
      </c>
      <c r="I47" s="92" t="n">
        <f aca="false">+H47</f>
        <v>0.8</v>
      </c>
      <c r="J47" s="92" t="n">
        <f aca="false">+I47</f>
        <v>0.8</v>
      </c>
    </row>
    <row r="49" customFormat="false" ht="12.75" hidden="false" customHeight="false" outlineLevel="0" collapsed="false">
      <c r="A49" s="61" t="s">
        <v>348</v>
      </c>
      <c r="B49" s="85" t="s">
        <v>362</v>
      </c>
      <c r="C49" s="85"/>
      <c r="D49" s="85"/>
      <c r="E49" s="85" t="n">
        <v>2013</v>
      </c>
      <c r="F49" s="85" t="n">
        <f aca="false">E49+1</f>
        <v>2014</v>
      </c>
      <c r="G49" s="85" t="n">
        <f aca="false">F49+1</f>
        <v>2015</v>
      </c>
      <c r="H49" s="85" t="n">
        <f aca="false">G49+1</f>
        <v>2016</v>
      </c>
      <c r="I49" s="85" t="n">
        <f aca="false">H49+1</f>
        <v>2017</v>
      </c>
      <c r="J49" s="85" t="n">
        <f aca="false">I49+1</f>
        <v>2018</v>
      </c>
    </row>
    <row r="50" customFormat="false" ht="12.75" hidden="false" customHeight="false" outlineLevel="0" collapsed="false">
      <c r="B50" s="61" t="s">
        <v>363</v>
      </c>
      <c r="E50" s="75" t="n">
        <f aca="false">+E26*E57/$I$5</f>
        <v>246.575342465753</v>
      </c>
      <c r="F50" s="75" t="n">
        <f aca="false">+F26*F57/$I$5</f>
        <v>262.849315068493</v>
      </c>
      <c r="G50" s="75" t="n">
        <f aca="false">+G26*G57/$I$5</f>
        <v>280.197369863014</v>
      </c>
      <c r="H50" s="75" t="n">
        <f aca="false">+H26*H57/$I$5</f>
        <v>298.690396273973</v>
      </c>
      <c r="I50" s="75" t="n">
        <f aca="false">+I26*I57/$I$5</f>
        <v>318.403962428055</v>
      </c>
      <c r="J50" s="75" t="n">
        <f aca="false">+J26*J57/$I$5</f>
        <v>339.418623948307</v>
      </c>
    </row>
    <row r="51" customFormat="false" ht="12.75" hidden="false" customHeight="false" outlineLevel="0" collapsed="false">
      <c r="B51" s="61" t="s">
        <v>364</v>
      </c>
      <c r="E51" s="75" t="n">
        <f aca="false">-E28/E58</f>
        <v>240</v>
      </c>
      <c r="F51" s="75" t="n">
        <f aca="false">-F28/F58</f>
        <v>255.84</v>
      </c>
      <c r="G51" s="75" t="n">
        <f aca="false">-G28/G58</f>
        <v>272.72544</v>
      </c>
      <c r="H51" s="75" t="n">
        <f aca="false">-H28/H58</f>
        <v>290.72531904</v>
      </c>
      <c r="I51" s="75" t="n">
        <f aca="false">-I28/I58</f>
        <v>309.91319009664</v>
      </c>
      <c r="J51" s="75" t="n">
        <f aca="false">-J28/J58</f>
        <v>330.367460643018</v>
      </c>
    </row>
    <row r="52" customFormat="false" ht="12.75" hidden="false" customHeight="false" outlineLevel="0" collapsed="false">
      <c r="B52" s="61" t="s">
        <v>365</v>
      </c>
      <c r="E52" s="75" t="n">
        <f aca="false">-E28*E59/$I$5</f>
        <v>147.945205479452</v>
      </c>
      <c r="F52" s="75" t="n">
        <f aca="false">-F28*F59/$I$5</f>
        <v>157.709589041096</v>
      </c>
      <c r="G52" s="75" t="n">
        <f aca="false">-G28*G59/$I$5</f>
        <v>168.118421917808</v>
      </c>
      <c r="H52" s="75" t="n">
        <f aca="false">-H28*H59/$I$5</f>
        <v>179.214237764384</v>
      </c>
      <c r="I52" s="75" t="n">
        <f aca="false">-I28*I59/$I$5</f>
        <v>191.042377456833</v>
      </c>
      <c r="J52" s="75" t="n">
        <f aca="false">-J28*J59/$I$5</f>
        <v>203.651174368984</v>
      </c>
    </row>
    <row r="53" customFormat="false" ht="12.75" hidden="false" customHeight="false" outlineLevel="0" collapsed="false">
      <c r="B53" s="81" t="s">
        <v>366</v>
      </c>
      <c r="C53" s="81"/>
      <c r="D53" s="81"/>
      <c r="E53" s="82" t="n">
        <f aca="false">+E50+E51-E52</f>
        <v>338.630136986301</v>
      </c>
      <c r="F53" s="82" t="n">
        <f aca="false">+F50+F51-F52</f>
        <v>360.979726027397</v>
      </c>
      <c r="G53" s="82" t="n">
        <f aca="false">+G50+G51-G52</f>
        <v>384.804387945205</v>
      </c>
      <c r="H53" s="82" t="n">
        <f aca="false">+H50+H51-H52</f>
        <v>410.201477549589</v>
      </c>
      <c r="I53" s="82" t="n">
        <f aca="false">+I50+I51-I52</f>
        <v>437.274775067862</v>
      </c>
      <c r="J53" s="82" t="n">
        <f aca="false">+J50+J51-J52</f>
        <v>466.134910222341</v>
      </c>
    </row>
    <row r="54" customFormat="false" ht="12.75" hidden="false" customHeight="false" outlineLevel="0" collapsed="false">
      <c r="B54" s="61" t="s">
        <v>367</v>
      </c>
      <c r="E54" s="75"/>
      <c r="F54" s="75" t="n">
        <f aca="false">+F53-E53</f>
        <v>22.3495890410959</v>
      </c>
      <c r="G54" s="75" t="n">
        <f aca="false">+G53-F53</f>
        <v>23.8246619178082</v>
      </c>
      <c r="H54" s="75" t="n">
        <f aca="false">+H53-G53</f>
        <v>25.3970896043836</v>
      </c>
      <c r="I54" s="75" t="n">
        <f aca="false">+I53-H53</f>
        <v>27.0732975182729</v>
      </c>
      <c r="J54" s="75" t="n">
        <f aca="false">+J53-I53</f>
        <v>28.8601351544791</v>
      </c>
    </row>
    <row r="56" customFormat="false" ht="12.75" hidden="false" customHeight="false" outlineLevel="0" collapsed="false">
      <c r="B56" s="93" t="s">
        <v>368</v>
      </c>
    </row>
    <row r="57" customFormat="false" ht="12.75" hidden="false" customHeight="false" outlineLevel="0" collapsed="false">
      <c r="B57" s="61" t="s">
        <v>363</v>
      </c>
      <c r="E57" s="94" t="n">
        <v>45</v>
      </c>
      <c r="F57" s="95" t="n">
        <f aca="false">+E57</f>
        <v>45</v>
      </c>
      <c r="G57" s="95" t="n">
        <f aca="false">+F57</f>
        <v>45</v>
      </c>
      <c r="H57" s="95" t="n">
        <f aca="false">+G57</f>
        <v>45</v>
      </c>
      <c r="I57" s="95" t="n">
        <f aca="false">+H57</f>
        <v>45</v>
      </c>
      <c r="J57" s="95" t="n">
        <f aca="false">+I57</f>
        <v>45</v>
      </c>
    </row>
    <row r="58" customFormat="false" ht="12.75" hidden="false" customHeight="false" outlineLevel="0" collapsed="false">
      <c r="B58" s="61" t="s">
        <v>364</v>
      </c>
      <c r="E58" s="64" t="n">
        <v>5</v>
      </c>
      <c r="F58" s="96" t="n">
        <f aca="false">+E58</f>
        <v>5</v>
      </c>
      <c r="G58" s="96" t="n">
        <f aca="false">+F58</f>
        <v>5</v>
      </c>
      <c r="H58" s="96" t="n">
        <f aca="false">+G58</f>
        <v>5</v>
      </c>
      <c r="I58" s="96" t="n">
        <f aca="false">+H58</f>
        <v>5</v>
      </c>
      <c r="J58" s="96" t="n">
        <f aca="false">+I58</f>
        <v>5</v>
      </c>
    </row>
    <row r="59" customFormat="false" ht="12.75" hidden="false" customHeight="false" outlineLevel="0" collapsed="false">
      <c r="B59" s="61" t="s">
        <v>365</v>
      </c>
      <c r="E59" s="94" t="n">
        <v>45</v>
      </c>
      <c r="F59" s="95" t="n">
        <f aca="false">+E59</f>
        <v>45</v>
      </c>
      <c r="G59" s="95" t="n">
        <f aca="false">+F59</f>
        <v>45</v>
      </c>
      <c r="H59" s="95" t="n">
        <f aca="false">+G59</f>
        <v>45</v>
      </c>
      <c r="I59" s="95" t="n">
        <f aca="false">+H59</f>
        <v>45</v>
      </c>
      <c r="J59" s="95" t="n">
        <f aca="false">+I59</f>
        <v>45</v>
      </c>
    </row>
    <row r="61" customFormat="false" ht="12.75" hidden="false" customHeight="false" outlineLevel="0" collapsed="false">
      <c r="A61" s="61" t="s">
        <v>348</v>
      </c>
      <c r="B61" s="85" t="s">
        <v>369</v>
      </c>
      <c r="C61" s="85"/>
      <c r="D61" s="85"/>
      <c r="E61" s="85" t="n">
        <v>2013</v>
      </c>
      <c r="F61" s="85" t="n">
        <f aca="false">E61+1</f>
        <v>2014</v>
      </c>
      <c r="G61" s="85" t="n">
        <f aca="false">F61+1</f>
        <v>2015</v>
      </c>
      <c r="H61" s="85" t="n">
        <f aca="false">G61+1</f>
        <v>2016</v>
      </c>
      <c r="I61" s="85" t="n">
        <f aca="false">H61+1</f>
        <v>2017</v>
      </c>
      <c r="J61" s="85" t="n">
        <f aca="false">I61+1</f>
        <v>2018</v>
      </c>
    </row>
    <row r="62" customFormat="false" ht="12.75" hidden="false" customHeight="false" outlineLevel="0" collapsed="false">
      <c r="B62" s="61" t="s">
        <v>370</v>
      </c>
      <c r="E62" s="97" t="n">
        <v>0</v>
      </c>
      <c r="F62" s="76" t="n">
        <f aca="false">+E62+F92</f>
        <v>40</v>
      </c>
      <c r="G62" s="76" t="n">
        <f aca="false">+F62+G92</f>
        <v>40</v>
      </c>
      <c r="H62" s="76" t="n">
        <f aca="false">+G62+H92</f>
        <v>40</v>
      </c>
      <c r="I62" s="76" t="n">
        <f aca="false">+H62+I92</f>
        <v>40</v>
      </c>
      <c r="J62" s="76" t="n">
        <f aca="false">+I62+J92</f>
        <v>40</v>
      </c>
    </row>
    <row r="63" customFormat="false" ht="12.75" hidden="false" customHeight="false" outlineLevel="0" collapsed="false">
      <c r="E63" s="97"/>
      <c r="F63" s="76"/>
      <c r="G63" s="76"/>
      <c r="H63" s="76"/>
      <c r="I63" s="76"/>
      <c r="J63" s="76"/>
    </row>
    <row r="64" customFormat="false" ht="12.75" hidden="false" customHeight="false" outlineLevel="0" collapsed="false">
      <c r="B64" s="61" t="s">
        <v>371</v>
      </c>
      <c r="E64" s="97" t="n">
        <v>0</v>
      </c>
      <c r="F64" s="76" t="n">
        <f aca="false">+F111</f>
        <v>0</v>
      </c>
      <c r="G64" s="76" t="n">
        <f aca="false">+G111</f>
        <v>0</v>
      </c>
      <c r="H64" s="76" t="n">
        <f aca="false">+H111</f>
        <v>0</v>
      </c>
      <c r="I64" s="76" t="n">
        <f aca="false">+I111</f>
        <v>0</v>
      </c>
      <c r="J64" s="76" t="n">
        <f aca="false">+J111</f>
        <v>0</v>
      </c>
    </row>
    <row r="65" customFormat="false" ht="12.75" hidden="false" customHeight="false" outlineLevel="0" collapsed="false">
      <c r="B65" s="61" t="s">
        <v>335</v>
      </c>
      <c r="E65" s="76" t="n">
        <f aca="false">+E11</f>
        <v>1369.96</v>
      </c>
      <c r="F65" s="76" t="n">
        <f aca="false">+F121</f>
        <v>1353.84372713633</v>
      </c>
      <c r="G65" s="76" t="n">
        <f aca="false">+G121</f>
        <v>1284.92683088214</v>
      </c>
      <c r="H65" s="76" t="n">
        <f aca="false">+H121</f>
        <v>1200.77291415155</v>
      </c>
      <c r="I65" s="76" t="n">
        <f aca="false">+I121</f>
        <v>1099.91539180105</v>
      </c>
      <c r="J65" s="76" t="n">
        <f aca="false">+J121</f>
        <v>980.771005952871</v>
      </c>
    </row>
    <row r="66" customFormat="false" ht="12.75" hidden="false" customHeight="false" outlineLevel="0" collapsed="false">
      <c r="B66" s="61" t="s">
        <v>337</v>
      </c>
      <c r="E66" s="76" t="n">
        <f aca="false">+E12</f>
        <v>620.02</v>
      </c>
      <c r="F66" s="76" t="n">
        <f aca="false">+F132</f>
        <v>620.02</v>
      </c>
      <c r="G66" s="76" t="n">
        <f aca="false">+G132</f>
        <v>620.02</v>
      </c>
      <c r="H66" s="76" t="n">
        <f aca="false">+H132</f>
        <v>620.02</v>
      </c>
      <c r="I66" s="76" t="n">
        <f aca="false">+I132</f>
        <v>620.02</v>
      </c>
      <c r="J66" s="76" t="n">
        <f aca="false">+J132</f>
        <v>620.02</v>
      </c>
    </row>
    <row r="67" customFormat="false" ht="12.75" hidden="false" customHeight="false" outlineLevel="0" collapsed="false">
      <c r="B67" s="81" t="s">
        <v>372</v>
      </c>
      <c r="C67" s="81"/>
      <c r="D67" s="81"/>
      <c r="E67" s="82" t="n">
        <f aca="false">SUM(E64:E66)</f>
        <v>1989.98</v>
      </c>
      <c r="F67" s="82" t="n">
        <f aca="false">SUM(F64:F66)</f>
        <v>1973.86372713633</v>
      </c>
      <c r="G67" s="82" t="n">
        <f aca="false">SUM(G64:G66)</f>
        <v>1904.94683088214</v>
      </c>
      <c r="H67" s="82" t="n">
        <f aca="false">SUM(H64:H66)</f>
        <v>1820.79291415155</v>
      </c>
      <c r="I67" s="82" t="n">
        <f aca="false">SUM(I64:I66)</f>
        <v>1719.93539180105</v>
      </c>
      <c r="J67" s="82" t="n">
        <f aca="false">SUM(J64:J66)</f>
        <v>1600.79100595287</v>
      </c>
    </row>
    <row r="68" customFormat="false" ht="12.75" hidden="false" customHeight="false" outlineLevel="0" collapsed="false">
      <c r="B68" s="61" t="s">
        <v>28</v>
      </c>
      <c r="E68" s="76" t="n">
        <f aca="false">SUM(E13:E14)-J12</f>
        <v>954.79455</v>
      </c>
      <c r="F68" s="76" t="n">
        <f aca="false">+E68+F40</f>
        <v>1014.88871428571</v>
      </c>
      <c r="G68" s="76" t="n">
        <f aca="false">+F68+G40</f>
        <v>1088.41430283867</v>
      </c>
      <c r="H68" s="76" t="n">
        <f aca="false">+G68+H40</f>
        <v>1177.8493456026</v>
      </c>
      <c r="I68" s="76" t="n">
        <f aca="false">+H68+I40</f>
        <v>1284.70480834749</v>
      </c>
      <c r="J68" s="76" t="n">
        <f aca="false">+I68+J40</f>
        <v>1410.61125869895</v>
      </c>
    </row>
    <row r="69" customFormat="false" ht="12.75" hidden="false" customHeight="false" outlineLevel="0" collapsed="false">
      <c r="B69" s="81" t="s">
        <v>373</v>
      </c>
      <c r="C69" s="81"/>
      <c r="D69" s="81"/>
      <c r="E69" s="82" t="n">
        <f aca="false">SUM(E67:E68)</f>
        <v>2944.77455</v>
      </c>
      <c r="F69" s="82" t="n">
        <f aca="false">SUM(F67:F68)</f>
        <v>2988.75244142205</v>
      </c>
      <c r="G69" s="82" t="n">
        <f aca="false">SUM(G67:G68)</f>
        <v>2993.36113372081</v>
      </c>
      <c r="H69" s="82" t="n">
        <f aca="false">SUM(H67:H68)</f>
        <v>2998.64225975415</v>
      </c>
      <c r="I69" s="82" t="n">
        <f aca="false">SUM(I67:I68)</f>
        <v>3004.64020014854</v>
      </c>
      <c r="J69" s="82" t="n">
        <f aca="false">SUM(J67:J68)</f>
        <v>3011.40226465182</v>
      </c>
    </row>
    <row r="71" customFormat="false" ht="12.75" hidden="false" customHeight="false" outlineLevel="0" collapsed="false">
      <c r="B71" s="61" t="s">
        <v>374</v>
      </c>
      <c r="E71" s="98" t="n">
        <f aca="false">+E65/$E$31</f>
        <v>4.724</v>
      </c>
      <c r="F71" s="98" t="n">
        <f aca="false">+F65/$E$31</f>
        <v>4.6684266452977</v>
      </c>
      <c r="G71" s="98" t="n">
        <f aca="false">+G65/$E$31</f>
        <v>4.43078217545564</v>
      </c>
      <c r="H71" s="98" t="n">
        <f aca="false">+H65/$E$31</f>
        <v>4.140596255695</v>
      </c>
      <c r="I71" s="98" t="n">
        <f aca="false">+I65/$E$31</f>
        <v>3.7928116958657</v>
      </c>
      <c r="J71" s="98" t="n">
        <f aca="false">+J65/$E$31</f>
        <v>3.38196898604438</v>
      </c>
    </row>
    <row r="72" customFormat="false" ht="12.75" hidden="false" customHeight="false" outlineLevel="0" collapsed="false">
      <c r="B72" s="61" t="s">
        <v>375</v>
      </c>
      <c r="E72" s="98" t="n">
        <f aca="false">+E66/$E$31</f>
        <v>2.138</v>
      </c>
      <c r="F72" s="98" t="n">
        <f aca="false">+F66/$E$31</f>
        <v>2.138</v>
      </c>
      <c r="G72" s="98" t="n">
        <f aca="false">+G66/$E$31</f>
        <v>2.138</v>
      </c>
      <c r="H72" s="98" t="n">
        <f aca="false">+H66/$E$31</f>
        <v>2.138</v>
      </c>
      <c r="I72" s="98" t="n">
        <f aca="false">+I66/$E$31</f>
        <v>2.138</v>
      </c>
      <c r="J72" s="98" t="n">
        <f aca="false">+J66/$E$31</f>
        <v>2.138</v>
      </c>
    </row>
    <row r="73" customFormat="false" ht="12.75" hidden="false" customHeight="false" outlineLevel="0" collapsed="false">
      <c r="B73" s="61" t="s">
        <v>376</v>
      </c>
      <c r="E73" s="98" t="n">
        <f aca="false">+E67/$E$31</f>
        <v>6.862</v>
      </c>
      <c r="F73" s="98" t="n">
        <f aca="false">+F67/$E$31</f>
        <v>6.8064266452977</v>
      </c>
      <c r="G73" s="98" t="n">
        <f aca="false">+G67/$E$31</f>
        <v>6.56878217545564</v>
      </c>
      <c r="H73" s="98" t="n">
        <f aca="false">+H67/$E$31</f>
        <v>6.278596255695</v>
      </c>
      <c r="I73" s="98" t="n">
        <f aca="false">+I67/$E$31</f>
        <v>5.9308116958657</v>
      </c>
      <c r="J73" s="98" t="n">
        <f aca="false">+J67/$E$31</f>
        <v>5.51996898604438</v>
      </c>
    </row>
    <row r="74" customFormat="false" ht="12.75" hidden="false" customHeight="false" outlineLevel="0" collapsed="false">
      <c r="B74" s="61" t="s">
        <v>377</v>
      </c>
      <c r="E74" s="99" t="n">
        <f aca="false">+E67/E69</f>
        <v>0.675766503075762</v>
      </c>
      <c r="F74" s="99" t="n">
        <f aca="false">+F67/F69</f>
        <v>0.660430653198286</v>
      </c>
      <c r="G74" s="99" t="n">
        <f aca="false">+G67/G69</f>
        <v>0.636390580950133</v>
      </c>
      <c r="H74" s="99" t="n">
        <f aca="false">+H67/H69</f>
        <v>0.607205780625807</v>
      </c>
      <c r="I74" s="99" t="n">
        <f aca="false">+I67/I69</f>
        <v>0.572426406235271</v>
      </c>
      <c r="J74" s="99" t="n">
        <f aca="false">+J67/J69</f>
        <v>0.531576609589206</v>
      </c>
    </row>
    <row r="76" customFormat="false" ht="12.75" hidden="false" customHeight="false" outlineLevel="0" collapsed="false">
      <c r="A76" s="61" t="s">
        <v>348</v>
      </c>
      <c r="B76" s="85" t="s">
        <v>378</v>
      </c>
      <c r="C76" s="85"/>
      <c r="D76" s="85"/>
      <c r="E76" s="85" t="n">
        <v>2013</v>
      </c>
      <c r="F76" s="85" t="n">
        <f aca="false">E76+1</f>
        <v>2014</v>
      </c>
      <c r="G76" s="85" t="n">
        <f aca="false">F76+1</f>
        <v>2015</v>
      </c>
      <c r="H76" s="85" t="n">
        <f aca="false">G76+1</f>
        <v>2016</v>
      </c>
      <c r="I76" s="85" t="n">
        <f aca="false">H76+1</f>
        <v>2017</v>
      </c>
      <c r="J76" s="85" t="n">
        <f aca="false">I76+1</f>
        <v>2018</v>
      </c>
    </row>
    <row r="77" customFormat="false" ht="12.75" hidden="false" customHeight="false" outlineLevel="0" collapsed="false">
      <c r="B77" s="61" t="s">
        <v>141</v>
      </c>
      <c r="F77" s="75" t="n">
        <f aca="false">+F40</f>
        <v>60.0941642857143</v>
      </c>
      <c r="G77" s="75" t="n">
        <f aca="false">+G40</f>
        <v>73.5255885529599</v>
      </c>
      <c r="H77" s="75" t="n">
        <f aca="false">+H40</f>
        <v>89.4350427639223</v>
      </c>
      <c r="I77" s="75" t="n">
        <f aca="false">+I40</f>
        <v>106.855462744889</v>
      </c>
      <c r="J77" s="75" t="n">
        <f aca="false">+J40</f>
        <v>125.906450351463</v>
      </c>
    </row>
    <row r="78" customFormat="false" ht="12.75" hidden="false" customHeight="false" outlineLevel="0" collapsed="false">
      <c r="B78" s="61" t="s">
        <v>142</v>
      </c>
      <c r="F78" s="75" t="n">
        <f aca="false">+-F33</f>
        <v>80.2933333333333</v>
      </c>
      <c r="G78" s="75" t="n">
        <f aca="false">+-G33</f>
        <v>84.5146933333333</v>
      </c>
      <c r="H78" s="75" t="n">
        <f aca="false">+-H33</f>
        <v>89.0146630933334</v>
      </c>
      <c r="I78" s="75" t="n">
        <f aca="false">+-I33</f>
        <v>93.8116308574933</v>
      </c>
      <c r="J78" s="75" t="n">
        <f aca="false">+-J33</f>
        <v>98.9251984940879</v>
      </c>
    </row>
    <row r="79" customFormat="false" ht="12.75" hidden="false" customHeight="false" outlineLevel="0" collapsed="false">
      <c r="B79" s="61" t="s">
        <v>379</v>
      </c>
      <c r="F79" s="75" t="n">
        <f aca="false">+F43</f>
        <v>-4.08333333333333</v>
      </c>
      <c r="G79" s="75" t="n">
        <f aca="false">+G43</f>
        <v>-4.08333333333333</v>
      </c>
      <c r="H79" s="75" t="n">
        <f aca="false">+H43</f>
        <v>-4.08333333333333</v>
      </c>
      <c r="I79" s="75" t="n">
        <f aca="false">+I43</f>
        <v>-4.08333333333333</v>
      </c>
      <c r="J79" s="75" t="n">
        <f aca="false">+J43</f>
        <v>-4.08333333333333</v>
      </c>
    </row>
    <row r="80" customFormat="false" ht="12.75" hidden="false" customHeight="false" outlineLevel="0" collapsed="false">
      <c r="B80" s="61" t="s">
        <v>380</v>
      </c>
      <c r="F80" s="75" t="n">
        <f aca="false">-+F139</f>
        <v>0</v>
      </c>
      <c r="G80" s="75" t="n">
        <f aca="false">-+G139</f>
        <v>0</v>
      </c>
      <c r="H80" s="75" t="n">
        <f aca="false">-+H139</f>
        <v>0</v>
      </c>
      <c r="I80" s="75" t="n">
        <f aca="false">-+I139</f>
        <v>0</v>
      </c>
      <c r="J80" s="75" t="n">
        <f aca="false">-+J139</f>
        <v>0</v>
      </c>
    </row>
    <row r="81" customFormat="false" ht="12.75" hidden="false" customHeight="false" outlineLevel="0" collapsed="false">
      <c r="B81" s="61" t="s">
        <v>381</v>
      </c>
      <c r="F81" s="75" t="n">
        <f aca="false">+-F37</f>
        <v>6.39636428571429</v>
      </c>
      <c r="G81" s="75" t="n">
        <f aca="false">+-G37</f>
        <v>6.39636428571429</v>
      </c>
      <c r="H81" s="75" t="n">
        <f aca="false">+-H37</f>
        <v>6.39636428571429</v>
      </c>
      <c r="I81" s="75" t="n">
        <f aca="false">+-I37</f>
        <v>6.39636428571429</v>
      </c>
      <c r="J81" s="75" t="n">
        <f aca="false">+-J37</f>
        <v>6.39636428571429</v>
      </c>
    </row>
    <row r="82" customFormat="false" ht="12.75" hidden="false" customHeight="false" outlineLevel="0" collapsed="false">
      <c r="B82" s="61" t="s">
        <v>382</v>
      </c>
      <c r="F82" s="75" t="n">
        <f aca="false">+-F54</f>
        <v>-22.3495890410959</v>
      </c>
      <c r="G82" s="75" t="n">
        <f aca="false">+-G54</f>
        <v>-23.8246619178082</v>
      </c>
      <c r="H82" s="75" t="n">
        <f aca="false">+-H54</f>
        <v>-25.3970896043836</v>
      </c>
      <c r="I82" s="75" t="n">
        <f aca="false">+-I54</f>
        <v>-27.0732975182729</v>
      </c>
      <c r="J82" s="75" t="n">
        <f aca="false">+-J54</f>
        <v>-28.8601351544791</v>
      </c>
    </row>
    <row r="83" customFormat="false" ht="12.75" hidden="false" customHeight="false" outlineLevel="0" collapsed="false">
      <c r="B83" s="81" t="s">
        <v>383</v>
      </c>
      <c r="C83" s="81"/>
      <c r="D83" s="81"/>
      <c r="E83" s="81"/>
      <c r="F83" s="82" t="n">
        <f aca="false">SUM(F77:F82)</f>
        <v>120.350939530333</v>
      </c>
      <c r="G83" s="82" t="n">
        <f aca="false">SUM(G77:G82)</f>
        <v>136.528650920866</v>
      </c>
      <c r="H83" s="82" t="n">
        <f aca="false">SUM(H77:H82)</f>
        <v>155.365647205253</v>
      </c>
      <c r="I83" s="82" t="n">
        <f aca="false">SUM(I77:I82)</f>
        <v>175.90682703649</v>
      </c>
      <c r="J83" s="82" t="n">
        <f aca="false">SUM(J77:J82)</f>
        <v>198.284544643453</v>
      </c>
    </row>
    <row r="84" customFormat="false" ht="12.75" hidden="false" customHeight="false" outlineLevel="0" collapsed="false">
      <c r="F84" s="75"/>
      <c r="G84" s="75"/>
      <c r="H84" s="75"/>
      <c r="I84" s="75"/>
      <c r="J84" s="75"/>
    </row>
    <row r="85" customFormat="false" ht="12.75" hidden="false" customHeight="false" outlineLevel="0" collapsed="false">
      <c r="B85" s="61" t="s">
        <v>359</v>
      </c>
      <c r="F85" s="75" t="n">
        <f aca="false">+-F44</f>
        <v>-64.2346666666667</v>
      </c>
      <c r="G85" s="75" t="n">
        <f aca="false">+-G44</f>
        <v>-67.6117546666667</v>
      </c>
      <c r="H85" s="75" t="n">
        <f aca="false">+-H44</f>
        <v>-71.2117304746667</v>
      </c>
      <c r="I85" s="75" t="n">
        <f aca="false">+-I44</f>
        <v>-75.0493046859947</v>
      </c>
      <c r="J85" s="75" t="n">
        <f aca="false">+-J44</f>
        <v>-79.1401587952703</v>
      </c>
    </row>
    <row r="86" customFormat="false" ht="12.75" hidden="false" customHeight="false" outlineLevel="0" collapsed="false">
      <c r="B86" s="81" t="s">
        <v>384</v>
      </c>
      <c r="C86" s="81"/>
      <c r="D86" s="81"/>
      <c r="E86" s="81"/>
      <c r="F86" s="82" t="n">
        <f aca="false">SUM(F85)</f>
        <v>-64.2346666666667</v>
      </c>
      <c r="G86" s="82" t="n">
        <f aca="false">SUM(G85)</f>
        <v>-67.6117546666667</v>
      </c>
      <c r="H86" s="82" t="n">
        <f aca="false">SUM(H85)</f>
        <v>-71.2117304746667</v>
      </c>
      <c r="I86" s="82" t="n">
        <f aca="false">SUM(I85)</f>
        <v>-75.0493046859947</v>
      </c>
      <c r="J86" s="82" t="n">
        <f aca="false">SUM(J85)</f>
        <v>-79.1401587952703</v>
      </c>
    </row>
    <row r="87" customFormat="false" ht="12.75" hidden="false" customHeight="false" outlineLevel="0" collapsed="false">
      <c r="F87" s="75"/>
      <c r="G87" s="75"/>
      <c r="H87" s="75"/>
      <c r="I87" s="75"/>
      <c r="J87" s="75"/>
    </row>
    <row r="88" customFormat="false" ht="12.75" hidden="false" customHeight="false" outlineLevel="0" collapsed="false">
      <c r="B88" s="61" t="s">
        <v>385</v>
      </c>
      <c r="F88" s="75" t="n">
        <f aca="false">+F119</f>
        <v>-13.6996</v>
      </c>
      <c r="G88" s="75" t="n">
        <f aca="false">+G119</f>
        <v>-13.6996</v>
      </c>
      <c r="H88" s="75" t="n">
        <f aca="false">+H119</f>
        <v>-13.6996</v>
      </c>
      <c r="I88" s="75" t="n">
        <f aca="false">+I119</f>
        <v>-13.6996</v>
      </c>
      <c r="J88" s="75" t="n">
        <f aca="false">+J119</f>
        <v>-13.6996</v>
      </c>
    </row>
    <row r="89" customFormat="false" ht="12.75" hidden="false" customHeight="false" outlineLevel="0" collapsed="false">
      <c r="B89" s="61" t="s">
        <v>386</v>
      </c>
      <c r="F89" s="75" t="n">
        <f aca="false">+SUM(F100,F102,F104)</f>
        <v>-2.41667286366604</v>
      </c>
      <c r="G89" s="75" t="n">
        <f aca="false">+SUM(G100,G102,G104)</f>
        <v>-55.2172962541993</v>
      </c>
      <c r="H89" s="75" t="n">
        <f aca="false">+SUM(H100,H102,H104)</f>
        <v>-70.4543167305863</v>
      </c>
      <c r="I89" s="75" t="n">
        <f aca="false">+SUM(I100,I102,I104)</f>
        <v>-87.1579223504956</v>
      </c>
      <c r="J89" s="75" t="n">
        <f aca="false">+SUM(J100,J102,J104)</f>
        <v>-105.444785848183</v>
      </c>
    </row>
    <row r="90" customFormat="false" ht="12.75" hidden="false" customHeight="false" outlineLevel="0" collapsed="false">
      <c r="B90" s="81" t="s">
        <v>387</v>
      </c>
      <c r="C90" s="81"/>
      <c r="D90" s="81"/>
      <c r="E90" s="81"/>
      <c r="F90" s="82" t="n">
        <f aca="false">SUM(F88:F89)</f>
        <v>-16.116272863666</v>
      </c>
      <c r="G90" s="82" t="n">
        <f aca="false">SUM(G88:G89)</f>
        <v>-68.9168962541993</v>
      </c>
      <c r="H90" s="82" t="n">
        <f aca="false">SUM(H88:H89)</f>
        <v>-84.1539167305863</v>
      </c>
      <c r="I90" s="82" t="n">
        <f aca="false">SUM(I88:I89)</f>
        <v>-100.857522350496</v>
      </c>
      <c r="J90" s="82" t="n">
        <f aca="false">SUM(J88:J89)</f>
        <v>-119.144385848183</v>
      </c>
    </row>
    <row r="91" customFormat="false" ht="12.75" hidden="false" customHeight="false" outlineLevel="0" collapsed="false">
      <c r="F91" s="75"/>
      <c r="G91" s="75"/>
      <c r="H91" s="75"/>
      <c r="I91" s="75"/>
      <c r="J91" s="75"/>
    </row>
    <row r="92" customFormat="false" ht="12.75" hidden="false" customHeight="false" outlineLevel="0" collapsed="false">
      <c r="B92" s="61" t="s">
        <v>388</v>
      </c>
      <c r="F92" s="75" t="n">
        <f aca="false">+SUM(F83,F86,F90)</f>
        <v>40</v>
      </c>
      <c r="G92" s="75" t="n">
        <f aca="false">+SUM(G83,G86,G90)</f>
        <v>0</v>
      </c>
      <c r="H92" s="75" t="n">
        <f aca="false">+SUM(H83,H86,H90)</f>
        <v>0</v>
      </c>
      <c r="I92" s="75" t="n">
        <f aca="false">+SUM(I83,I86,I90)</f>
        <v>0</v>
      </c>
      <c r="J92" s="75" t="n">
        <f aca="false">+SUM(J83,J86,J90)</f>
        <v>0</v>
      </c>
    </row>
    <row r="94" customFormat="false" ht="12.75" hidden="false" customHeight="false" outlineLevel="0" collapsed="false">
      <c r="A94" s="61" t="s">
        <v>348</v>
      </c>
      <c r="B94" s="85" t="s">
        <v>389</v>
      </c>
      <c r="C94" s="85"/>
      <c r="D94" s="85"/>
      <c r="E94" s="85" t="n">
        <v>2013</v>
      </c>
      <c r="F94" s="85" t="n">
        <f aca="false">E94+1</f>
        <v>2014</v>
      </c>
      <c r="G94" s="85" t="n">
        <f aca="false">F94+1</f>
        <v>2015</v>
      </c>
      <c r="H94" s="85" t="n">
        <f aca="false">G94+1</f>
        <v>2016</v>
      </c>
      <c r="I94" s="85" t="n">
        <f aca="false">H94+1</f>
        <v>2017</v>
      </c>
      <c r="J94" s="85" t="n">
        <f aca="false">I94+1</f>
        <v>2018</v>
      </c>
    </row>
    <row r="95" customFormat="false" ht="12.75" hidden="false" customHeight="false" outlineLevel="0" collapsed="false">
      <c r="B95" s="61" t="s">
        <v>390</v>
      </c>
      <c r="E95" s="75"/>
      <c r="F95" s="75" t="n">
        <f aca="false">+E62</f>
        <v>0</v>
      </c>
      <c r="G95" s="75" t="n">
        <f aca="false">+F62</f>
        <v>40</v>
      </c>
      <c r="H95" s="75" t="n">
        <f aca="false">+G62</f>
        <v>40</v>
      </c>
      <c r="I95" s="75" t="n">
        <f aca="false">+H62</f>
        <v>40</v>
      </c>
      <c r="J95" s="75" t="n">
        <f aca="false">+I62</f>
        <v>40</v>
      </c>
    </row>
    <row r="96" customFormat="false" ht="12.75" hidden="false" customHeight="false" outlineLevel="0" collapsed="false">
      <c r="B96" s="61" t="s">
        <v>391</v>
      </c>
      <c r="E96" s="75"/>
      <c r="F96" s="97" t="n">
        <v>-40</v>
      </c>
      <c r="G96" s="97" t="n">
        <v>-40</v>
      </c>
      <c r="H96" s="97" t="n">
        <v>-40</v>
      </c>
      <c r="I96" s="97" t="n">
        <v>-40</v>
      </c>
      <c r="J96" s="97" t="n">
        <v>-40</v>
      </c>
    </row>
    <row r="97" customFormat="false" ht="12.75" hidden="false" customHeight="false" outlineLevel="0" collapsed="false">
      <c r="B97" s="61" t="s">
        <v>392</v>
      </c>
      <c r="E97" s="75"/>
      <c r="F97" s="75" t="n">
        <f aca="false">+F83+F86</f>
        <v>56.116272863666</v>
      </c>
      <c r="G97" s="75" t="n">
        <f aca="false">+G83+G86</f>
        <v>68.9168962541993</v>
      </c>
      <c r="H97" s="75" t="n">
        <f aca="false">+H83+H86</f>
        <v>84.1539167305863</v>
      </c>
      <c r="I97" s="75" t="n">
        <f aca="false">+I83+I86</f>
        <v>100.857522350496</v>
      </c>
      <c r="J97" s="75" t="n">
        <f aca="false">+J83+J86</f>
        <v>119.144385848183</v>
      </c>
    </row>
    <row r="98" customFormat="false" ht="12.75" hidden="false" customHeight="false" outlineLevel="0" collapsed="false">
      <c r="B98" s="61" t="s">
        <v>393</v>
      </c>
      <c r="E98" s="75"/>
      <c r="F98" s="75" t="n">
        <f aca="false">+F88</f>
        <v>-13.6996</v>
      </c>
      <c r="G98" s="75" t="n">
        <f aca="false">+G88</f>
        <v>-13.6996</v>
      </c>
      <c r="H98" s="75" t="n">
        <f aca="false">+H88</f>
        <v>-13.6996</v>
      </c>
      <c r="I98" s="75" t="n">
        <f aca="false">+I88</f>
        <v>-13.6996</v>
      </c>
      <c r="J98" s="75" t="n">
        <f aca="false">+J88</f>
        <v>-13.6996</v>
      </c>
    </row>
    <row r="99" customFormat="false" ht="12.75" hidden="false" customHeight="false" outlineLevel="0" collapsed="false">
      <c r="B99" s="81" t="s">
        <v>394</v>
      </c>
      <c r="C99" s="81"/>
      <c r="D99" s="81"/>
      <c r="E99" s="82"/>
      <c r="F99" s="82" t="n">
        <f aca="false">SUM(F95:F98)</f>
        <v>2.41667286366604</v>
      </c>
      <c r="G99" s="82" t="n">
        <f aca="false">SUM(G95:G98)</f>
        <v>55.2172962541993</v>
      </c>
      <c r="H99" s="82" t="n">
        <f aca="false">SUM(H95:H98)</f>
        <v>70.4543167305863</v>
      </c>
      <c r="I99" s="82" t="n">
        <f aca="false">SUM(I95:I98)</f>
        <v>87.1579223504956</v>
      </c>
      <c r="J99" s="82" t="n">
        <f aca="false">SUM(J95:J98)</f>
        <v>105.444785848183</v>
      </c>
    </row>
    <row r="100" customFormat="false" ht="12.75" hidden="false" customHeight="false" outlineLevel="0" collapsed="false">
      <c r="B100" s="61" t="s">
        <v>395</v>
      </c>
      <c r="E100" s="75"/>
      <c r="F100" s="75" t="n">
        <f aca="false">+SUM(F109:F110)</f>
        <v>0</v>
      </c>
      <c r="G100" s="75" t="n">
        <f aca="false">+SUM(G109:G110)</f>
        <v>0</v>
      </c>
      <c r="H100" s="75" t="n">
        <f aca="false">+SUM(H109:H110)</f>
        <v>0</v>
      </c>
      <c r="I100" s="75" t="n">
        <f aca="false">+SUM(I109:I110)</f>
        <v>0</v>
      </c>
      <c r="J100" s="75" t="n">
        <f aca="false">+SUM(J109:J110)</f>
        <v>0</v>
      </c>
    </row>
    <row r="101" customFormat="false" ht="12.75" hidden="false" customHeight="false" outlineLevel="0" collapsed="false">
      <c r="B101" s="81" t="s">
        <v>396</v>
      </c>
      <c r="C101" s="81"/>
      <c r="D101" s="81"/>
      <c r="E101" s="82"/>
      <c r="F101" s="82" t="n">
        <f aca="false">SUM(F99:F100)</f>
        <v>2.41667286366604</v>
      </c>
      <c r="G101" s="82" t="n">
        <f aca="false">SUM(G99:G100)</f>
        <v>55.2172962541993</v>
      </c>
      <c r="H101" s="82" t="n">
        <f aca="false">SUM(H99:H100)</f>
        <v>70.4543167305863</v>
      </c>
      <c r="I101" s="82" t="n">
        <f aca="false">SUM(I99:I100)</f>
        <v>87.1579223504956</v>
      </c>
      <c r="J101" s="82" t="n">
        <f aca="false">SUM(J99:J100)</f>
        <v>105.444785848183</v>
      </c>
    </row>
    <row r="102" customFormat="false" ht="12.75" hidden="false" customHeight="false" outlineLevel="0" collapsed="false">
      <c r="B102" s="61" t="s">
        <v>397</v>
      </c>
      <c r="E102" s="75"/>
      <c r="F102" s="75" t="n">
        <f aca="false">+F120</f>
        <v>-2.41667286366604</v>
      </c>
      <c r="G102" s="75" t="n">
        <f aca="false">+G120</f>
        <v>-55.2172962541993</v>
      </c>
      <c r="H102" s="75" t="n">
        <f aca="false">+H120</f>
        <v>-70.4543167305863</v>
      </c>
      <c r="I102" s="75" t="n">
        <f aca="false">+I120</f>
        <v>-87.1579223504956</v>
      </c>
      <c r="J102" s="75" t="n">
        <f aca="false">+J120</f>
        <v>-105.444785848183</v>
      </c>
    </row>
    <row r="103" customFormat="false" ht="12.75" hidden="false" customHeight="false" outlineLevel="0" collapsed="false">
      <c r="B103" s="81" t="s">
        <v>398</v>
      </c>
      <c r="C103" s="81"/>
      <c r="D103" s="81"/>
      <c r="E103" s="82"/>
      <c r="F103" s="82" t="n">
        <f aca="false">SUM(F101:F102)</f>
        <v>0</v>
      </c>
      <c r="G103" s="82" t="n">
        <f aca="false">SUM(G101:G102)</f>
        <v>0</v>
      </c>
      <c r="H103" s="82" t="n">
        <f aca="false">SUM(H101:H102)</f>
        <v>0</v>
      </c>
      <c r="I103" s="82" t="n">
        <f aca="false">SUM(I101:I102)</f>
        <v>0</v>
      </c>
      <c r="J103" s="82" t="n">
        <f aca="false">SUM(J101:J102)</f>
        <v>0</v>
      </c>
    </row>
    <row r="104" customFormat="false" ht="12.75" hidden="false" customHeight="false" outlineLevel="0" collapsed="false">
      <c r="B104" s="61" t="s">
        <v>397</v>
      </c>
      <c r="E104" s="75"/>
      <c r="F104" s="75" t="n">
        <f aca="false">+F131</f>
        <v>0</v>
      </c>
      <c r="G104" s="75" t="n">
        <f aca="false">+G131</f>
        <v>0</v>
      </c>
      <c r="H104" s="75" t="n">
        <f aca="false">+H131</f>
        <v>0</v>
      </c>
      <c r="I104" s="75" t="n">
        <f aca="false">+I131</f>
        <v>0</v>
      </c>
      <c r="J104" s="75" t="n">
        <f aca="false">+J131</f>
        <v>0</v>
      </c>
    </row>
    <row r="105" customFormat="false" ht="12.75" hidden="false" customHeight="false" outlineLevel="0" collapsed="false">
      <c r="B105" s="81" t="s">
        <v>399</v>
      </c>
      <c r="C105" s="81"/>
      <c r="D105" s="81"/>
      <c r="E105" s="82"/>
      <c r="F105" s="82" t="n">
        <f aca="false">SUM(F103:F104)</f>
        <v>0</v>
      </c>
      <c r="G105" s="82" t="n">
        <f aca="false">SUM(G103:G104)</f>
        <v>0</v>
      </c>
      <c r="H105" s="82" t="n">
        <f aca="false">SUM(H103:H104)</f>
        <v>0</v>
      </c>
      <c r="I105" s="82" t="n">
        <f aca="false">SUM(I103:I104)</f>
        <v>0</v>
      </c>
      <c r="J105" s="82" t="n">
        <f aca="false">SUM(J103:J104)</f>
        <v>0</v>
      </c>
    </row>
    <row r="106" customFormat="false" ht="12.75" hidden="false" customHeight="false" outlineLevel="0" collapsed="false">
      <c r="E106" s="75"/>
      <c r="F106" s="75"/>
      <c r="G106" s="75"/>
      <c r="H106" s="75"/>
      <c r="I106" s="75"/>
      <c r="J106" s="75"/>
    </row>
    <row r="107" customFormat="false" ht="12.75" hidden="false" customHeight="false" outlineLevel="0" collapsed="false">
      <c r="B107" s="93" t="s">
        <v>371</v>
      </c>
      <c r="E107" s="75"/>
      <c r="F107" s="75"/>
      <c r="G107" s="75"/>
      <c r="H107" s="75"/>
      <c r="I107" s="75"/>
      <c r="J107" s="75"/>
    </row>
    <row r="108" customFormat="false" ht="12.75" hidden="false" customHeight="false" outlineLevel="0" collapsed="false">
      <c r="B108" s="61" t="s">
        <v>400</v>
      </c>
      <c r="E108" s="75"/>
      <c r="F108" s="75" t="n">
        <f aca="false">+E111</f>
        <v>0</v>
      </c>
      <c r="G108" s="75" t="n">
        <f aca="false">+F111</f>
        <v>0</v>
      </c>
      <c r="H108" s="75" t="n">
        <f aca="false">+G111</f>
        <v>0</v>
      </c>
      <c r="I108" s="75" t="n">
        <f aca="false">+H111</f>
        <v>0</v>
      </c>
      <c r="J108" s="75" t="n">
        <f aca="false">+I111</f>
        <v>0</v>
      </c>
    </row>
    <row r="109" customFormat="false" ht="12.75" hidden="false" customHeight="false" outlineLevel="0" collapsed="false">
      <c r="B109" s="61" t="s">
        <v>401</v>
      </c>
      <c r="E109" s="75"/>
      <c r="F109" s="75" t="n">
        <f aca="false">+-MIN(F99,0)</f>
        <v>-0</v>
      </c>
      <c r="G109" s="75" t="n">
        <f aca="false">+-MIN(G99,0)</f>
        <v>-0</v>
      </c>
      <c r="H109" s="75" t="n">
        <f aca="false">+-MIN(H99,0)</f>
        <v>-0</v>
      </c>
      <c r="I109" s="75" t="n">
        <f aca="false">+-MIN(I99,0)</f>
        <v>-0</v>
      </c>
      <c r="J109" s="75" t="n">
        <f aca="false">+-MIN(J99,0)</f>
        <v>-0</v>
      </c>
    </row>
    <row r="110" customFormat="false" ht="12.75" hidden="false" customHeight="false" outlineLevel="0" collapsed="false">
      <c r="B110" s="61" t="s">
        <v>402</v>
      </c>
      <c r="E110" s="75"/>
      <c r="F110" s="75" t="n">
        <f aca="false">+IF(F108&gt;0,-MIN(F108,MAX(F99,0)),0)</f>
        <v>0</v>
      </c>
      <c r="G110" s="75" t="n">
        <f aca="false">+IF(G108&gt;0,-MIN(G108,MAX(G99,0)),0)</f>
        <v>0</v>
      </c>
      <c r="H110" s="75" t="n">
        <f aca="false">+IF(H108&gt;0,-MIN(H108,MAX(H99,0)),0)</f>
        <v>0</v>
      </c>
      <c r="I110" s="75" t="n">
        <f aca="false">+IF(I108&gt;0,-MIN(I108,MAX(I99,0)),0)</f>
        <v>0</v>
      </c>
      <c r="J110" s="75" t="n">
        <f aca="false">+IF(J108&gt;0,-MIN(J108,MAX(J99,0)),0)</f>
        <v>0</v>
      </c>
    </row>
    <row r="111" customFormat="false" ht="12.75" hidden="false" customHeight="false" outlineLevel="0" collapsed="false">
      <c r="B111" s="81" t="s">
        <v>403</v>
      </c>
      <c r="C111" s="81"/>
      <c r="D111" s="81"/>
      <c r="E111" s="100" t="n">
        <v>0</v>
      </c>
      <c r="F111" s="82" t="n">
        <f aca="false">SUM(F108:F110)</f>
        <v>0</v>
      </c>
      <c r="G111" s="82" t="n">
        <f aca="false">SUM(G108:G110)</f>
        <v>0</v>
      </c>
      <c r="H111" s="82" t="n">
        <f aca="false">SUM(H108:H110)</f>
        <v>0</v>
      </c>
      <c r="I111" s="82" t="n">
        <f aca="false">SUM(I108:I110)</f>
        <v>0</v>
      </c>
      <c r="J111" s="82" t="n">
        <f aca="false">SUM(J108:J110)</f>
        <v>0</v>
      </c>
    </row>
    <row r="112" customFormat="false" ht="12.75" hidden="false" customHeight="false" outlineLevel="0" collapsed="false">
      <c r="E112" s="75"/>
      <c r="F112" s="75"/>
      <c r="G112" s="75"/>
      <c r="H112" s="75"/>
      <c r="I112" s="75"/>
      <c r="J112" s="75"/>
    </row>
    <row r="113" customFormat="false" ht="12.75" hidden="false" customHeight="false" outlineLevel="0" collapsed="false">
      <c r="B113" s="61" t="s">
        <v>404</v>
      </c>
      <c r="E113" s="75"/>
      <c r="F113" s="75" t="n">
        <f aca="false">+E111</f>
        <v>0</v>
      </c>
      <c r="G113" s="75" t="n">
        <f aca="false">+F111</f>
        <v>0</v>
      </c>
      <c r="H113" s="75" t="n">
        <f aca="false">+G111</f>
        <v>0</v>
      </c>
      <c r="I113" s="75" t="n">
        <f aca="false">+H111</f>
        <v>0</v>
      </c>
      <c r="J113" s="75" t="n">
        <f aca="false">+I111</f>
        <v>0</v>
      </c>
    </row>
    <row r="114" customFormat="false" ht="12.75" hidden="false" customHeight="false" outlineLevel="0" collapsed="false">
      <c r="B114" s="61" t="s">
        <v>405</v>
      </c>
      <c r="F114" s="69" t="n">
        <v>0.07</v>
      </c>
      <c r="G114" s="92" t="n">
        <f aca="false">+F114</f>
        <v>0.07</v>
      </c>
      <c r="H114" s="92" t="n">
        <f aca="false">+G114</f>
        <v>0.07</v>
      </c>
      <c r="I114" s="92" t="n">
        <f aca="false">+H114</f>
        <v>0.07</v>
      </c>
      <c r="J114" s="92" t="n">
        <f aca="false">+I114</f>
        <v>0.07</v>
      </c>
    </row>
    <row r="115" customFormat="false" ht="12.75" hidden="false" customHeight="false" outlineLevel="0" collapsed="false">
      <c r="B115" s="61" t="s">
        <v>406</v>
      </c>
      <c r="E115" s="75"/>
      <c r="F115" s="75" t="n">
        <f aca="false">+-F113*F114</f>
        <v>-0</v>
      </c>
      <c r="G115" s="75" t="n">
        <f aca="false">+-G113*G114</f>
        <v>-0</v>
      </c>
      <c r="H115" s="75" t="n">
        <f aca="false">+-H113*H114</f>
        <v>-0</v>
      </c>
      <c r="I115" s="75" t="n">
        <f aca="false">+-I113*I114</f>
        <v>-0</v>
      </c>
      <c r="J115" s="75" t="n">
        <f aca="false">+-J113*J114</f>
        <v>-0</v>
      </c>
    </row>
    <row r="116" customFormat="false" ht="12.75" hidden="false" customHeight="false" outlineLevel="0" collapsed="false">
      <c r="E116" s="75"/>
      <c r="F116" s="75"/>
      <c r="G116" s="75"/>
      <c r="H116" s="75"/>
      <c r="I116" s="75"/>
      <c r="J116" s="75"/>
    </row>
    <row r="117" customFormat="false" ht="12.75" hidden="false" customHeight="false" outlineLevel="0" collapsed="false">
      <c r="B117" s="93" t="s">
        <v>335</v>
      </c>
      <c r="E117" s="75"/>
      <c r="F117" s="75"/>
      <c r="G117" s="75"/>
      <c r="H117" s="75"/>
      <c r="I117" s="75"/>
      <c r="J117" s="75"/>
    </row>
    <row r="118" customFormat="false" ht="12.75" hidden="false" customHeight="false" outlineLevel="0" collapsed="false">
      <c r="B118" s="61" t="s">
        <v>400</v>
      </c>
      <c r="E118" s="75"/>
      <c r="F118" s="75" t="n">
        <f aca="false">+E121</f>
        <v>1369.96</v>
      </c>
      <c r="G118" s="75" t="n">
        <f aca="false">+F121</f>
        <v>1353.84372713633</v>
      </c>
      <c r="H118" s="75" t="n">
        <f aca="false">+G121</f>
        <v>1284.92683088214</v>
      </c>
      <c r="I118" s="75" t="n">
        <f aca="false">+H121</f>
        <v>1200.77291415155</v>
      </c>
      <c r="J118" s="75" t="n">
        <f aca="false">+I121</f>
        <v>1099.91539180105</v>
      </c>
    </row>
    <row r="119" customFormat="false" ht="12.75" hidden="false" customHeight="false" outlineLevel="0" collapsed="false">
      <c r="B119" s="61" t="s">
        <v>407</v>
      </c>
      <c r="E119" s="75"/>
      <c r="F119" s="101" t="n">
        <f aca="false">-IF($E$121+F118*F126&gt;0,$E$121*F126,0)</f>
        <v>-13.6996</v>
      </c>
      <c r="G119" s="101" t="n">
        <f aca="false">-IF($E$121+G118*G126&gt;0,$E$121*G126,0)</f>
        <v>-13.6996</v>
      </c>
      <c r="H119" s="101" t="n">
        <f aca="false">-IF($E$121+H118*H126&gt;0,$E$121*H126,0)</f>
        <v>-13.6996</v>
      </c>
      <c r="I119" s="101" t="n">
        <f aca="false">-IF($E$121+I118*I126&gt;0,$E$121*I126,0)</f>
        <v>-13.6996</v>
      </c>
      <c r="J119" s="101" t="n">
        <f aca="false">-IF($E$121+J118*J126&gt;0,$E$121*J126,0)</f>
        <v>-13.6996</v>
      </c>
    </row>
    <row r="120" customFormat="false" ht="12.75" hidden="false" customHeight="false" outlineLevel="0" collapsed="false">
      <c r="B120" s="61" t="s">
        <v>402</v>
      </c>
      <c r="E120" s="75"/>
      <c r="F120" s="75" t="n">
        <f aca="false">+-MIN(SUM(F118:F119),MAX(F101,0))</f>
        <v>-2.41667286366604</v>
      </c>
      <c r="G120" s="75" t="n">
        <f aca="false">+-MIN(SUM(G118:G119),MAX(G101,0))</f>
        <v>-55.2172962541993</v>
      </c>
      <c r="H120" s="75" t="n">
        <f aca="false">+-MIN(SUM(H118:H119),MAX(H101,0))</f>
        <v>-70.4543167305863</v>
      </c>
      <c r="I120" s="75" t="n">
        <f aca="false">+-MIN(SUM(I118:I119),MAX(I101,0))</f>
        <v>-87.1579223504956</v>
      </c>
      <c r="J120" s="75" t="n">
        <f aca="false">+-MIN(SUM(J118:J119),MAX(J101,0))</f>
        <v>-105.444785848183</v>
      </c>
    </row>
    <row r="121" customFormat="false" ht="12.75" hidden="false" customHeight="false" outlineLevel="0" collapsed="false">
      <c r="B121" s="81" t="s">
        <v>403</v>
      </c>
      <c r="C121" s="81"/>
      <c r="D121" s="81"/>
      <c r="E121" s="100" t="n">
        <f aca="false">+E11</f>
        <v>1369.96</v>
      </c>
      <c r="F121" s="82" t="n">
        <f aca="false">SUM(F118:F120)</f>
        <v>1353.84372713633</v>
      </c>
      <c r="G121" s="82" t="n">
        <f aca="false">SUM(G118:G120)</f>
        <v>1284.92683088214</v>
      </c>
      <c r="H121" s="82" t="n">
        <f aca="false">SUM(H118:H120)</f>
        <v>1200.77291415155</v>
      </c>
      <c r="I121" s="82" t="n">
        <f aca="false">SUM(I118:I120)</f>
        <v>1099.91539180105</v>
      </c>
      <c r="J121" s="82" t="n">
        <f aca="false">SUM(J118:J120)</f>
        <v>980.771005952871</v>
      </c>
    </row>
    <row r="122" customFormat="false" ht="12.75" hidden="false" customHeight="false" outlineLevel="0" collapsed="false">
      <c r="E122" s="75"/>
      <c r="F122" s="75"/>
      <c r="G122" s="75"/>
      <c r="H122" s="75"/>
      <c r="I122" s="75"/>
      <c r="J122" s="75"/>
    </row>
    <row r="123" customFormat="false" ht="12.75" hidden="false" customHeight="false" outlineLevel="0" collapsed="false">
      <c r="B123" s="61" t="s">
        <v>404</v>
      </c>
      <c r="E123" s="75"/>
      <c r="F123" s="75" t="n">
        <f aca="false">+E121</f>
        <v>1369.96</v>
      </c>
      <c r="G123" s="75" t="n">
        <f aca="false">+F121</f>
        <v>1353.84372713633</v>
      </c>
      <c r="H123" s="75" t="n">
        <f aca="false">+G121</f>
        <v>1284.92683088214</v>
      </c>
      <c r="I123" s="75" t="n">
        <f aca="false">+H121</f>
        <v>1200.77291415155</v>
      </c>
      <c r="J123" s="75" t="n">
        <f aca="false">+I121</f>
        <v>1099.91539180105</v>
      </c>
    </row>
    <row r="124" customFormat="false" ht="12.75" hidden="false" customHeight="false" outlineLevel="0" collapsed="false">
      <c r="B124" s="61" t="s">
        <v>405</v>
      </c>
      <c r="F124" s="69" t="n">
        <v>0.0575</v>
      </c>
      <c r="G124" s="92" t="n">
        <f aca="false">+F124</f>
        <v>0.0575</v>
      </c>
      <c r="H124" s="92" t="n">
        <f aca="false">+G124</f>
        <v>0.0575</v>
      </c>
      <c r="I124" s="92" t="n">
        <f aca="false">+H124</f>
        <v>0.0575</v>
      </c>
      <c r="J124" s="92" t="n">
        <f aca="false">+I124</f>
        <v>0.0575</v>
      </c>
    </row>
    <row r="125" customFormat="false" ht="12.75" hidden="false" customHeight="false" outlineLevel="0" collapsed="false">
      <c r="B125" s="61" t="s">
        <v>406</v>
      </c>
      <c r="E125" s="75"/>
      <c r="F125" s="75" t="n">
        <f aca="false">+-F123*F124</f>
        <v>-78.7727</v>
      </c>
      <c r="G125" s="75" t="n">
        <f aca="false">+-G123*G124</f>
        <v>-77.8460143103392</v>
      </c>
      <c r="H125" s="75" t="n">
        <f aca="false">+-H123*H124</f>
        <v>-73.8832927757228</v>
      </c>
      <c r="I125" s="75" t="n">
        <f aca="false">+-I123*I124</f>
        <v>-69.0444425637141</v>
      </c>
      <c r="J125" s="75" t="n">
        <f aca="false">+-J123*J124</f>
        <v>-63.2451350285606</v>
      </c>
    </row>
    <row r="126" customFormat="false" ht="12.75" hidden="false" customHeight="false" outlineLevel="0" collapsed="false">
      <c r="B126" s="61" t="s">
        <v>407</v>
      </c>
      <c r="F126" s="69" t="n">
        <v>0.01</v>
      </c>
      <c r="G126" s="92" t="n">
        <f aca="false">+F126</f>
        <v>0.01</v>
      </c>
      <c r="H126" s="92" t="n">
        <f aca="false">+G126</f>
        <v>0.01</v>
      </c>
      <c r="I126" s="92" t="n">
        <f aca="false">+H126</f>
        <v>0.01</v>
      </c>
      <c r="J126" s="92" t="n">
        <f aca="false">+I126</f>
        <v>0.01</v>
      </c>
    </row>
    <row r="128" customFormat="false" ht="12.75" hidden="false" customHeight="false" outlineLevel="0" collapsed="false">
      <c r="B128" s="93" t="s">
        <v>337</v>
      </c>
    </row>
    <row r="129" customFormat="false" ht="12.75" hidden="false" customHeight="false" outlineLevel="0" collapsed="false">
      <c r="B129" s="61" t="s">
        <v>400</v>
      </c>
      <c r="E129" s="75"/>
      <c r="F129" s="75" t="n">
        <f aca="false">+E132</f>
        <v>620.02</v>
      </c>
      <c r="G129" s="75" t="n">
        <f aca="false">+F132</f>
        <v>620.02</v>
      </c>
      <c r="H129" s="75" t="n">
        <f aca="false">+G132</f>
        <v>620.02</v>
      </c>
      <c r="I129" s="75" t="n">
        <f aca="false">+H132</f>
        <v>620.02</v>
      </c>
      <c r="J129" s="75" t="n">
        <f aca="false">+I132</f>
        <v>620.02</v>
      </c>
    </row>
    <row r="130" customFormat="false" ht="12.75" hidden="false" customHeight="false" outlineLevel="0" collapsed="false">
      <c r="B130" s="61" t="s">
        <v>408</v>
      </c>
      <c r="E130" s="75"/>
      <c r="F130" s="75" t="n">
        <f aca="false">+-F139</f>
        <v>0</v>
      </c>
      <c r="G130" s="75" t="n">
        <f aca="false">+-G139</f>
        <v>0</v>
      </c>
      <c r="H130" s="75" t="n">
        <f aca="false">+-H139</f>
        <v>0</v>
      </c>
      <c r="I130" s="75" t="n">
        <f aca="false">+-I139</f>
        <v>0</v>
      </c>
      <c r="J130" s="75" t="n">
        <f aca="false">+-J139</f>
        <v>0</v>
      </c>
    </row>
    <row r="131" customFormat="false" ht="12.75" hidden="false" customHeight="false" outlineLevel="0" collapsed="false">
      <c r="B131" s="61" t="s">
        <v>402</v>
      </c>
      <c r="E131" s="75"/>
      <c r="F131" s="75" t="n">
        <f aca="false">+IF(F103&gt;0,-MIN(SUM(F129:F130),F103),0)</f>
        <v>0</v>
      </c>
      <c r="G131" s="75" t="n">
        <f aca="false">+IF(G103&gt;0,-MIN(SUM(G129:G130),G103),0)</f>
        <v>0</v>
      </c>
      <c r="H131" s="75" t="n">
        <f aca="false">+IF(H103&gt;0,-MIN(SUM(H129:H130),H103),0)</f>
        <v>0</v>
      </c>
      <c r="I131" s="75" t="n">
        <f aca="false">+IF(I103&gt;0,-MIN(SUM(I129:I130),I103),0)</f>
        <v>0</v>
      </c>
      <c r="J131" s="75" t="n">
        <f aca="false">+IF(J103&gt;0,-MIN(SUM(J129:J130),J103),0)</f>
        <v>0</v>
      </c>
    </row>
    <row r="132" customFormat="false" ht="12.75" hidden="false" customHeight="false" outlineLevel="0" collapsed="false">
      <c r="B132" s="81" t="s">
        <v>403</v>
      </c>
      <c r="C132" s="81"/>
      <c r="D132" s="81"/>
      <c r="E132" s="100" t="n">
        <f aca="false">+E12</f>
        <v>620.02</v>
      </c>
      <c r="F132" s="82" t="n">
        <f aca="false">SUM(F129:F131)</f>
        <v>620.02</v>
      </c>
      <c r="G132" s="82" t="n">
        <f aca="false">SUM(G129:G131)</f>
        <v>620.02</v>
      </c>
      <c r="H132" s="82" t="n">
        <f aca="false">SUM(H129:H131)</f>
        <v>620.02</v>
      </c>
      <c r="I132" s="82" t="n">
        <f aca="false">SUM(I129:I131)</f>
        <v>620.02</v>
      </c>
      <c r="J132" s="82" t="n">
        <f aca="false">SUM(J129:J131)</f>
        <v>620.02</v>
      </c>
    </row>
    <row r="133" customFormat="false" ht="12.75" hidden="false" customHeight="false" outlineLevel="0" collapsed="false">
      <c r="E133" s="75"/>
      <c r="F133" s="75"/>
      <c r="G133" s="75"/>
      <c r="H133" s="75"/>
      <c r="I133" s="75"/>
      <c r="J133" s="75"/>
    </row>
    <row r="134" customFormat="false" ht="12.75" hidden="false" customHeight="false" outlineLevel="0" collapsed="false">
      <c r="B134" s="61" t="s">
        <v>404</v>
      </c>
      <c r="E134" s="75"/>
      <c r="F134" s="75" t="n">
        <f aca="false">+E132</f>
        <v>620.02</v>
      </c>
      <c r="G134" s="75" t="n">
        <f aca="false">+F132</f>
        <v>620.02</v>
      </c>
      <c r="H134" s="75" t="n">
        <f aca="false">+G132</f>
        <v>620.02</v>
      </c>
      <c r="I134" s="75" t="n">
        <f aca="false">+H132</f>
        <v>620.02</v>
      </c>
      <c r="J134" s="75" t="n">
        <f aca="false">+I132</f>
        <v>620.02</v>
      </c>
    </row>
    <row r="135" customFormat="false" ht="12.75" hidden="false" customHeight="false" outlineLevel="0" collapsed="false">
      <c r="B135" s="61" t="s">
        <v>405</v>
      </c>
      <c r="F135" s="69" t="n">
        <v>0.1025</v>
      </c>
      <c r="G135" s="92" t="n">
        <f aca="false">+F135</f>
        <v>0.1025</v>
      </c>
      <c r="H135" s="92" t="n">
        <f aca="false">+G135</f>
        <v>0.1025</v>
      </c>
      <c r="I135" s="92" t="n">
        <f aca="false">+H135</f>
        <v>0.1025</v>
      </c>
      <c r="J135" s="92" t="n">
        <f aca="false">+I135</f>
        <v>0.1025</v>
      </c>
    </row>
    <row r="136" customFormat="false" ht="12.75" hidden="false" customHeight="false" outlineLevel="0" collapsed="false">
      <c r="B136" s="61" t="s">
        <v>406</v>
      </c>
      <c r="E136" s="75"/>
      <c r="F136" s="75" t="n">
        <f aca="false">+-F134*F135</f>
        <v>-63.55205</v>
      </c>
      <c r="G136" s="75" t="n">
        <f aca="false">+-G134*G135</f>
        <v>-63.55205</v>
      </c>
      <c r="H136" s="75" t="n">
        <f aca="false">+-H134*H135</f>
        <v>-63.55205</v>
      </c>
      <c r="I136" s="75" t="n">
        <f aca="false">+-I134*I135</f>
        <v>-63.55205</v>
      </c>
      <c r="J136" s="75" t="n">
        <f aca="false">+-J134*J135</f>
        <v>-63.55205</v>
      </c>
    </row>
    <row r="138" customFormat="false" ht="12.75" hidden="false" customHeight="false" outlineLevel="0" collapsed="false">
      <c r="B138" s="61" t="s">
        <v>409</v>
      </c>
      <c r="F138" s="69" t="n">
        <v>0</v>
      </c>
      <c r="G138" s="92" t="n">
        <f aca="false">+F138</f>
        <v>0</v>
      </c>
      <c r="H138" s="92" t="n">
        <f aca="false">+G138</f>
        <v>0</v>
      </c>
      <c r="I138" s="92" t="n">
        <f aca="false">+H138</f>
        <v>0</v>
      </c>
      <c r="J138" s="92" t="n">
        <f aca="false">+I138</f>
        <v>0</v>
      </c>
    </row>
    <row r="139" customFormat="false" ht="12.75" hidden="false" customHeight="false" outlineLevel="0" collapsed="false">
      <c r="B139" s="61" t="s">
        <v>410</v>
      </c>
      <c r="E139" s="75"/>
      <c r="F139" s="75" t="n">
        <f aca="false">+E132*-F138</f>
        <v>-0</v>
      </c>
      <c r="G139" s="75" t="n">
        <f aca="false">+F132*-G138</f>
        <v>-0</v>
      </c>
      <c r="H139" s="75" t="n">
        <f aca="false">+G132*-H138</f>
        <v>-0</v>
      </c>
      <c r="I139" s="75" t="n">
        <f aca="false">+H132*-I138</f>
        <v>-0</v>
      </c>
      <c r="J139" s="75" t="n">
        <f aca="false">+I132*-J138</f>
        <v>-0</v>
      </c>
    </row>
    <row r="140" customFormat="false" ht="12.75" hidden="false" customHeight="false" outlineLevel="0" collapsed="false">
      <c r="E140" s="75"/>
      <c r="F140" s="75"/>
      <c r="G140" s="75"/>
      <c r="H140" s="75"/>
      <c r="I140" s="75"/>
      <c r="J140" s="75"/>
    </row>
    <row r="141" customFormat="false" ht="12.75" hidden="false" customHeight="false" outlineLevel="0" collapsed="false">
      <c r="B141" s="93" t="s">
        <v>370</v>
      </c>
      <c r="E141" s="75"/>
      <c r="F141" s="75"/>
      <c r="G141" s="75"/>
      <c r="H141" s="75"/>
      <c r="I141" s="75"/>
      <c r="J141" s="75"/>
    </row>
    <row r="142" customFormat="false" ht="12.75" hidden="false" customHeight="false" outlineLevel="0" collapsed="false">
      <c r="B142" s="61" t="s">
        <v>400</v>
      </c>
      <c r="E142" s="75"/>
      <c r="F142" s="75" t="n">
        <f aca="false">+E144</f>
        <v>0</v>
      </c>
      <c r="G142" s="75" t="n">
        <f aca="false">+F144</f>
        <v>40</v>
      </c>
      <c r="H142" s="75" t="n">
        <f aca="false">+G144</f>
        <v>40</v>
      </c>
      <c r="I142" s="75" t="n">
        <f aca="false">+H144</f>
        <v>40</v>
      </c>
      <c r="J142" s="75" t="n">
        <f aca="false">+I144</f>
        <v>40</v>
      </c>
    </row>
    <row r="143" customFormat="false" ht="12.75" hidden="false" customHeight="false" outlineLevel="0" collapsed="false">
      <c r="B143" s="61" t="s">
        <v>411</v>
      </c>
      <c r="E143" s="75"/>
      <c r="F143" s="75" t="n">
        <f aca="false">+F92</f>
        <v>40</v>
      </c>
      <c r="G143" s="75" t="n">
        <f aca="false">+G92</f>
        <v>0</v>
      </c>
      <c r="H143" s="75" t="n">
        <f aca="false">+H92</f>
        <v>0</v>
      </c>
      <c r="I143" s="75" t="n">
        <f aca="false">+I92</f>
        <v>0</v>
      </c>
      <c r="J143" s="75" t="n">
        <f aca="false">+J92</f>
        <v>0</v>
      </c>
    </row>
    <row r="144" customFormat="false" ht="12.75" hidden="false" customHeight="false" outlineLevel="0" collapsed="false">
      <c r="B144" s="81" t="s">
        <v>403</v>
      </c>
      <c r="C144" s="81"/>
      <c r="D144" s="81"/>
      <c r="E144" s="100" t="n">
        <v>0</v>
      </c>
      <c r="F144" s="82" t="n">
        <f aca="false">SUM(F142:F143)</f>
        <v>40</v>
      </c>
      <c r="G144" s="82" t="n">
        <f aca="false">SUM(G142:G143)</f>
        <v>40</v>
      </c>
      <c r="H144" s="82" t="n">
        <f aca="false">SUM(H142:H143)</f>
        <v>40</v>
      </c>
      <c r="I144" s="82" t="n">
        <f aca="false">SUM(I142:I143)</f>
        <v>40</v>
      </c>
      <c r="J144" s="82" t="n">
        <f aca="false">SUM(J142:J143)</f>
        <v>40</v>
      </c>
    </row>
    <row r="145" customFormat="false" ht="12.75" hidden="false" customHeight="false" outlineLevel="0" collapsed="false">
      <c r="E145" s="75"/>
      <c r="F145" s="75"/>
      <c r="G145" s="75"/>
      <c r="H145" s="75"/>
      <c r="I145" s="75"/>
      <c r="J145" s="75"/>
    </row>
    <row r="146" customFormat="false" ht="12.75" hidden="false" customHeight="false" outlineLevel="0" collapsed="false">
      <c r="B146" s="61" t="s">
        <v>404</v>
      </c>
      <c r="E146" s="75"/>
      <c r="F146" s="75" t="n">
        <f aca="false">+E144</f>
        <v>0</v>
      </c>
      <c r="G146" s="75" t="n">
        <f aca="false">+F144</f>
        <v>40</v>
      </c>
      <c r="H146" s="75" t="n">
        <f aca="false">+G144</f>
        <v>40</v>
      </c>
      <c r="I146" s="75" t="n">
        <f aca="false">+H144</f>
        <v>40</v>
      </c>
      <c r="J146" s="75" t="n">
        <f aca="false">+I144</f>
        <v>40</v>
      </c>
    </row>
    <row r="147" customFormat="false" ht="12.75" hidden="false" customHeight="false" outlineLevel="0" collapsed="false">
      <c r="B147" s="61" t="s">
        <v>405</v>
      </c>
      <c r="F147" s="69" t="n">
        <v>0.02</v>
      </c>
      <c r="G147" s="92" t="n">
        <f aca="false">+F147</f>
        <v>0.02</v>
      </c>
      <c r="H147" s="92" t="n">
        <f aca="false">+G147</f>
        <v>0.02</v>
      </c>
      <c r="I147" s="92" t="n">
        <f aca="false">+H147</f>
        <v>0.02</v>
      </c>
      <c r="J147" s="92" t="n">
        <f aca="false">+I147</f>
        <v>0.02</v>
      </c>
    </row>
    <row r="148" customFormat="false" ht="12.75" hidden="false" customHeight="false" outlineLevel="0" collapsed="false">
      <c r="B148" s="61" t="s">
        <v>412</v>
      </c>
      <c r="E148" s="75"/>
      <c r="F148" s="75" t="n">
        <f aca="false">+F146*F147</f>
        <v>0</v>
      </c>
      <c r="G148" s="75" t="n">
        <f aca="false">+G146*G147</f>
        <v>0.8</v>
      </c>
      <c r="H148" s="75" t="n">
        <f aca="false">+H146*H147</f>
        <v>0.8</v>
      </c>
      <c r="I148" s="75" t="n">
        <f aca="false">+I146*I147</f>
        <v>0.8</v>
      </c>
      <c r="J148" s="75" t="n">
        <f aca="false">+J146*J147</f>
        <v>0.8</v>
      </c>
    </row>
    <row r="149" customFormat="false" ht="12.75" hidden="false" customHeight="false" outlineLevel="0" collapsed="false">
      <c r="E149" s="75"/>
      <c r="F149" s="75"/>
      <c r="G149" s="75"/>
      <c r="H149" s="75"/>
      <c r="I149" s="75"/>
      <c r="J149" s="75"/>
    </row>
    <row r="150" customFormat="false" ht="12.75" hidden="false" customHeight="false" outlineLevel="0" collapsed="false">
      <c r="B150" s="61" t="s">
        <v>413</v>
      </c>
      <c r="E150" s="75"/>
      <c r="F150" s="75" t="n">
        <f aca="false">+F115+F125+F136+F139</f>
        <v>-142.32475</v>
      </c>
      <c r="G150" s="75" t="n">
        <f aca="false">+G115+G125+G136+G139</f>
        <v>-141.398064310339</v>
      </c>
      <c r="H150" s="75" t="n">
        <f aca="false">+H115+H125+H136+H139</f>
        <v>-137.435342775723</v>
      </c>
      <c r="I150" s="75" t="n">
        <f aca="false">+I115+I125+I136+I139</f>
        <v>-132.596492563714</v>
      </c>
      <c r="J150" s="75" t="n">
        <f aca="false">+J115+J125+J136+J139</f>
        <v>-126.797185028561</v>
      </c>
    </row>
    <row r="151" customFormat="false" ht="12.75" hidden="false" customHeight="false" outlineLevel="0" collapsed="false">
      <c r="F151" s="102"/>
      <c r="G151" s="102"/>
      <c r="H151" s="102"/>
      <c r="I151" s="102"/>
      <c r="J151" s="102"/>
    </row>
    <row r="152" customFormat="false" ht="12.75" hidden="false" customHeight="false" outlineLevel="0" collapsed="false">
      <c r="A152" s="61" t="s">
        <v>348</v>
      </c>
      <c r="B152" s="85" t="s">
        <v>414</v>
      </c>
      <c r="C152" s="85"/>
      <c r="D152" s="85"/>
      <c r="E152" s="85" t="n">
        <v>2013</v>
      </c>
      <c r="F152" s="85" t="n">
        <f aca="false">E152+1</f>
        <v>2014</v>
      </c>
      <c r="G152" s="85" t="n">
        <f aca="false">F152+1</f>
        <v>2015</v>
      </c>
      <c r="H152" s="85" t="n">
        <f aca="false">G152+1</f>
        <v>2016</v>
      </c>
      <c r="I152" s="85" t="n">
        <f aca="false">H152+1</f>
        <v>2017</v>
      </c>
      <c r="J152" s="85" t="n">
        <f aca="false">I152+1</f>
        <v>2018</v>
      </c>
    </row>
    <row r="153" customFormat="false" ht="12.75" hidden="false" customHeight="false" outlineLevel="0" collapsed="false">
      <c r="B153" s="61" t="s">
        <v>125</v>
      </c>
      <c r="E153" s="75"/>
      <c r="F153" s="75" t="n">
        <f aca="false">+F31</f>
        <v>309.14</v>
      </c>
      <c r="G153" s="75" t="n">
        <f aca="false">+G31</f>
        <v>329.54324</v>
      </c>
      <c r="H153" s="75" t="n">
        <f aca="false">+H31</f>
        <v>351.29309384</v>
      </c>
      <c r="I153" s="75" t="n">
        <f aca="false">+I31</f>
        <v>374.47843803344</v>
      </c>
      <c r="J153" s="75" t="n">
        <f aca="false">+J31</f>
        <v>399.194014943647</v>
      </c>
    </row>
    <row r="154" customFormat="false" ht="12.75" hidden="false" customHeight="false" outlineLevel="0" collapsed="false">
      <c r="B154" s="61" t="s">
        <v>320</v>
      </c>
      <c r="F154" s="103" t="n">
        <f aca="false">+$E$4</f>
        <v>11.875</v>
      </c>
      <c r="G154" s="103" t="n">
        <f aca="false">+$E$4</f>
        <v>11.875</v>
      </c>
      <c r="H154" s="103" t="n">
        <f aca="false">+$E$4</f>
        <v>11.875</v>
      </c>
      <c r="I154" s="103" t="n">
        <f aca="false">+$E$4</f>
        <v>11.875</v>
      </c>
      <c r="J154" s="103" t="n">
        <f aca="false">+$E$4</f>
        <v>11.875</v>
      </c>
    </row>
    <row r="155" customFormat="false" ht="12.75" hidden="false" customHeight="false" outlineLevel="0" collapsed="false">
      <c r="B155" s="81" t="s">
        <v>415</v>
      </c>
      <c r="C155" s="81"/>
      <c r="D155" s="81"/>
      <c r="E155" s="82"/>
      <c r="F155" s="82" t="n">
        <f aca="false">+F153*F154</f>
        <v>3671.0375</v>
      </c>
      <c r="G155" s="82" t="n">
        <f aca="false">+G153*G154</f>
        <v>3913.325975</v>
      </c>
      <c r="H155" s="82" t="n">
        <f aca="false">+H153*H154</f>
        <v>4171.60548935</v>
      </c>
      <c r="I155" s="82" t="n">
        <f aca="false">+I153*I154</f>
        <v>4446.9314516471</v>
      </c>
      <c r="J155" s="82" t="n">
        <f aca="false">+J153*J154</f>
        <v>4740.42892745581</v>
      </c>
    </row>
    <row r="156" customFormat="false" ht="12.75" hidden="false" customHeight="false" outlineLevel="0" collapsed="false">
      <c r="B156" s="61" t="s">
        <v>416</v>
      </c>
      <c r="E156" s="75"/>
      <c r="F156" s="75" t="n">
        <f aca="false">+-F67+F62</f>
        <v>-1933.86372713633</v>
      </c>
      <c r="G156" s="75" t="n">
        <f aca="false">+-G67+G62</f>
        <v>-1864.94683088214</v>
      </c>
      <c r="H156" s="75" t="n">
        <f aca="false">+-H67+H62</f>
        <v>-1780.79291415155</v>
      </c>
      <c r="I156" s="75" t="n">
        <f aca="false">+-I67+I62</f>
        <v>-1679.93539180105</v>
      </c>
      <c r="J156" s="75" t="n">
        <f aca="false">+-J67+J62</f>
        <v>-1560.79100595287</v>
      </c>
    </row>
    <row r="157" customFormat="false" ht="12.75" hidden="false" customHeight="false" outlineLevel="0" collapsed="false">
      <c r="B157" s="81" t="s">
        <v>417</v>
      </c>
      <c r="C157" s="81"/>
      <c r="D157" s="81"/>
      <c r="E157" s="82"/>
      <c r="F157" s="82" t="n">
        <f aca="false">+SUM(F155:F156)</f>
        <v>1737.17377286367</v>
      </c>
      <c r="G157" s="82" t="n">
        <f aca="false">+SUM(G155:G156)</f>
        <v>2048.37914411787</v>
      </c>
      <c r="H157" s="82" t="n">
        <f aca="false">+SUM(H155:H156)</f>
        <v>2390.81257519845</v>
      </c>
      <c r="I157" s="82" t="n">
        <f aca="false">+SUM(I155:I156)</f>
        <v>2766.99605984605</v>
      </c>
      <c r="J157" s="82" t="n">
        <f aca="false">+SUM(J155:J156)</f>
        <v>3179.63792150294</v>
      </c>
    </row>
    <row r="158" customFormat="false" ht="12.75" hidden="false" customHeight="false" outlineLevel="0" collapsed="false">
      <c r="B158" s="61" t="s">
        <v>418</v>
      </c>
      <c r="E158" s="75"/>
      <c r="F158" s="75" t="n">
        <f aca="false">+-F157*$K$158</f>
        <v>-503.883917081228</v>
      </c>
      <c r="G158" s="75" t="n">
        <f aca="false">+-G157*$K$158</f>
        <v>-594.152020326757</v>
      </c>
      <c r="H158" s="75" t="n">
        <f aca="false">+-H157*$K$158</f>
        <v>-693.478121887693</v>
      </c>
      <c r="I158" s="75" t="n">
        <f aca="false">+-I157*$K$158</f>
        <v>-802.593750241341</v>
      </c>
      <c r="J158" s="75" t="n">
        <f aca="false">+-J157*$K$158</f>
        <v>-922.284480582388</v>
      </c>
      <c r="K158" s="104" t="n">
        <f aca="false">E13/SUM(E13:E14)</f>
        <v>0.290059592743329</v>
      </c>
    </row>
    <row r="159" customFormat="false" ht="12.75" hidden="false" customHeight="false" outlineLevel="0" collapsed="false">
      <c r="B159" s="81" t="s">
        <v>419</v>
      </c>
      <c r="C159" s="81"/>
      <c r="D159" s="81"/>
      <c r="E159" s="82"/>
      <c r="F159" s="82" t="n">
        <f aca="false">SUM(F157:F158)</f>
        <v>1233.28985578244</v>
      </c>
      <c r="G159" s="82" t="n">
        <f aca="false">SUM(G157:G158)</f>
        <v>1454.22712379111</v>
      </c>
      <c r="H159" s="82" t="n">
        <f aca="false">SUM(H157:H158)</f>
        <v>1697.33445331076</v>
      </c>
      <c r="I159" s="82" t="n">
        <f aca="false">SUM(I157:I158)</f>
        <v>1964.40230960471</v>
      </c>
      <c r="J159" s="82" t="n">
        <f aca="false">SUM(J157:J158)</f>
        <v>2257.35344092055</v>
      </c>
    </row>
    <row r="160" customFormat="false" ht="12.75" hidden="false" customHeight="false" outlineLevel="0" collapsed="false">
      <c r="E160" s="75"/>
      <c r="F160" s="75"/>
      <c r="G160" s="75"/>
      <c r="H160" s="75"/>
      <c r="I160" s="75"/>
      <c r="J160" s="75"/>
    </row>
    <row r="161" customFormat="false" ht="12.75" hidden="false" customHeight="false" outlineLevel="0" collapsed="false">
      <c r="B161" s="105" t="n">
        <v>43312</v>
      </c>
      <c r="E161" s="75"/>
      <c r="F161" s="75" t="n">
        <f aca="false">+-$E$14</f>
        <v>-709.79455</v>
      </c>
      <c r="G161" s="75" t="n">
        <f aca="false">+-$E$14</f>
        <v>-709.79455</v>
      </c>
      <c r="H161" s="75" t="n">
        <f aca="false">+-$E$14</f>
        <v>-709.79455</v>
      </c>
      <c r="I161" s="75" t="n">
        <f aca="false">+-$E$14</f>
        <v>-709.79455</v>
      </c>
      <c r="J161" s="75" t="n">
        <f aca="false">+-$E$14</f>
        <v>-709.79455</v>
      </c>
    </row>
    <row r="162" customFormat="false" ht="12.75" hidden="false" customHeight="false" outlineLevel="0" collapsed="false">
      <c r="B162" s="106" t="n">
        <f aca="false">DATE(YEAR(B161)+1,MONTH(B161),DAY(B161))</f>
        <v>43677</v>
      </c>
      <c r="E162" s="75"/>
      <c r="F162" s="75" t="n">
        <f aca="false">+F159</f>
        <v>1233.28985578244</v>
      </c>
      <c r="G162" s="75"/>
      <c r="H162" s="75"/>
      <c r="I162" s="75"/>
      <c r="J162" s="75"/>
    </row>
    <row r="163" customFormat="false" ht="12.75" hidden="false" customHeight="false" outlineLevel="0" collapsed="false">
      <c r="B163" s="106" t="n">
        <f aca="false">DATE(YEAR(B162)+1,MONTH(B162),DAY(B162))</f>
        <v>44043</v>
      </c>
      <c r="E163" s="75"/>
      <c r="F163" s="75"/>
      <c r="G163" s="75" t="n">
        <f aca="false">+G159</f>
        <v>1454.22712379111</v>
      </c>
      <c r="H163" s="75"/>
      <c r="I163" s="75"/>
      <c r="J163" s="75"/>
    </row>
    <row r="164" customFormat="false" ht="12.75" hidden="false" customHeight="false" outlineLevel="0" collapsed="false">
      <c r="B164" s="106" t="n">
        <f aca="false">DATE(YEAR(B163)+1,MONTH(B163),DAY(B163))</f>
        <v>44408</v>
      </c>
      <c r="E164" s="75"/>
      <c r="F164" s="75"/>
      <c r="G164" s="75"/>
      <c r="H164" s="75" t="n">
        <f aca="false">+H159</f>
        <v>1697.33445331076</v>
      </c>
      <c r="I164" s="75"/>
      <c r="J164" s="75"/>
    </row>
    <row r="165" customFormat="false" ht="12.75" hidden="false" customHeight="false" outlineLevel="0" collapsed="false">
      <c r="B165" s="106" t="n">
        <f aca="false">DATE(YEAR(B164)+1,MONTH(B164),DAY(B164))</f>
        <v>44773</v>
      </c>
      <c r="E165" s="75"/>
      <c r="F165" s="75"/>
      <c r="G165" s="75"/>
      <c r="H165" s="75"/>
      <c r="I165" s="75" t="n">
        <f aca="false">+I159</f>
        <v>1964.40230960471</v>
      </c>
      <c r="J165" s="75"/>
    </row>
    <row r="166" customFormat="false" ht="12.75" hidden="false" customHeight="false" outlineLevel="0" collapsed="false">
      <c r="B166" s="106" t="n">
        <f aca="false">DATE(YEAR(B165)+1,MONTH(B165),DAY(B165))</f>
        <v>45138</v>
      </c>
      <c r="E166" s="75"/>
      <c r="F166" s="75"/>
      <c r="G166" s="75"/>
      <c r="H166" s="75"/>
      <c r="I166" s="75"/>
      <c r="J166" s="75" t="n">
        <f aca="false">+J159</f>
        <v>2257.35344092055</v>
      </c>
    </row>
    <row r="167" customFormat="false" ht="12.75" hidden="false" customHeight="false" outlineLevel="0" collapsed="false">
      <c r="B167" s="81" t="s">
        <v>156</v>
      </c>
      <c r="C167" s="81"/>
      <c r="D167" s="81"/>
      <c r="E167" s="81"/>
      <c r="F167" s="107" t="n">
        <f aca="false">IFERROR(XIRR(F161:F166,$B$161:$B$166),"n/m")</f>
        <v>0.737530748555957</v>
      </c>
      <c r="G167" s="107" t="n">
        <f aca="false">IFERROR(XIRR(G161:G166,$B$161:$B$166),"n/m")</f>
        <v>0.430660959673291</v>
      </c>
      <c r="H167" s="107" t="n">
        <f aca="false">IFERROR(XIRR(H161:H166,$B$161:$B$166),"n/m")</f>
        <v>0.336892331804444</v>
      </c>
      <c r="I167" s="107" t="n">
        <f aca="false">IFERROR(XIRR(I161:I166,$B$161:$B$166),"n/m")</f>
        <v>0.289581499498915</v>
      </c>
      <c r="J167" s="107" t="n">
        <f aca="false">IFERROR(XIRR(J161:J166,$B$161:$B$166),"n/m")</f>
        <v>0.260196722756002</v>
      </c>
    </row>
    <row r="168" customFormat="false" ht="12.75" hidden="false" customHeight="false" outlineLevel="0" collapsed="false">
      <c r="B168" s="61" t="s">
        <v>420</v>
      </c>
      <c r="F168" s="103" t="n">
        <f aca="false">+F162/F161*-1</f>
        <v>1.73753074855596</v>
      </c>
      <c r="G168" s="103" t="n">
        <f aca="false">+G163/G161*-1</f>
        <v>2.04880007009227</v>
      </c>
      <c r="H168" s="103" t="n">
        <f aca="false">+H164/H161*-1</f>
        <v>2.39130386857825</v>
      </c>
      <c r="I168" s="103" t="n">
        <f aca="false">+I165/I161*-1</f>
        <v>2.76756465600462</v>
      </c>
      <c r="J168" s="103" t="n">
        <f aca="false">+J166/J161*-1</f>
        <v>3.18029131235306</v>
      </c>
    </row>
    <row r="169" customFormat="false" ht="12.75" hidden="false" customHeight="false" outlineLevel="0" collapsed="false">
      <c r="F169" s="102"/>
      <c r="G169" s="102"/>
      <c r="H169" s="102"/>
      <c r="I169" s="102"/>
      <c r="J169" s="102"/>
    </row>
    <row r="170" customFormat="false" ht="12.75" hidden="false" customHeight="false" outlineLevel="0" collapsed="false">
      <c r="A170" s="61" t="s">
        <v>421</v>
      </c>
      <c r="B170" s="85" t="s">
        <v>422</v>
      </c>
      <c r="C170" s="85"/>
      <c r="D170" s="85"/>
      <c r="E170" s="85"/>
      <c r="F170" s="85"/>
      <c r="G170" s="85"/>
      <c r="H170" s="85"/>
      <c r="I170" s="85"/>
      <c r="J170" s="85"/>
    </row>
    <row r="171" customFormat="false" ht="12.75" hidden="false" customHeight="false" outlineLevel="0" collapsed="false">
      <c r="F171" s="102"/>
      <c r="G171" s="102"/>
      <c r="H171" s="102"/>
      <c r="I171" s="102"/>
      <c r="J171" s="102"/>
    </row>
    <row r="172" customFormat="false" ht="12.75" hidden="false" customHeight="false" outlineLevel="0" collapsed="false">
      <c r="C172" s="61" t="s">
        <v>423</v>
      </c>
      <c r="D172" s="108" t="s">
        <v>320</v>
      </c>
      <c r="E172" s="108"/>
      <c r="F172" s="108"/>
      <c r="G172" s="108"/>
      <c r="H172" s="108"/>
      <c r="J172" s="102"/>
    </row>
    <row r="173" customFormat="false" ht="12.75" hidden="false" customHeight="false" outlineLevel="0" collapsed="false">
      <c r="C173" s="109" t="n">
        <f aca="false">+J167</f>
        <v>0.260196722756002</v>
      </c>
      <c r="D173" s="110" t="n">
        <v>9</v>
      </c>
      <c r="E173" s="110" t="n">
        <f aca="false">D173+1</f>
        <v>10</v>
      </c>
      <c r="F173" s="110" t="n">
        <f aca="false">E173+1</f>
        <v>11</v>
      </c>
      <c r="G173" s="110" t="n">
        <f aca="false">F173+1</f>
        <v>12</v>
      </c>
      <c r="H173" s="110" t="n">
        <f aca="false">G173+1</f>
        <v>13</v>
      </c>
      <c r="J173" s="102"/>
    </row>
    <row r="174" customFormat="false" ht="12.75" hidden="false" customHeight="false" outlineLevel="0" collapsed="false">
      <c r="C174" s="96" t="n">
        <v>8</v>
      </c>
      <c r="D174" s="111" t="n">
        <f aca="false">IFERROR(((($J$153*D$173+$J$156)*(1-$K$158))/($E$14+(($C174-$E$3)*$E$5)))^(1/5)-1,"n/m")</f>
        <v>0.618735571203031</v>
      </c>
      <c r="E174" s="107" t="n">
        <f aca="false">IFERROR(((($J$153*E$173+$J$156)*(1-$K$158))/($E$14+(($C174-$E$3)*$E$5)))^(1/5)-1,"n/m")</f>
        <v>0.67785879259508</v>
      </c>
      <c r="F174" s="107" t="n">
        <f aca="false">IFERROR(((($J$153*F$173+$J$156)*(1-$K$158))/($E$14+(($C174-$E$3)*$E$5)))^(1/5)-1,"n/m")</f>
        <v>0.729660654517572</v>
      </c>
      <c r="G174" s="107" t="n">
        <f aca="false">IFERROR(((($J$153*G$173+$J$156)*(1-$K$158))/($E$14+(($C174-$E$3)*$E$5)))^(1/5)-1,"n/m")</f>
        <v>0.775910787188121</v>
      </c>
      <c r="H174" s="112" t="n">
        <f aca="false">IFERROR(((($J$153*H$173+$J$156)*(1-$K$158))/($E$14+(($C174-$E$3)*$E$5)))^(1/5)-1,"n/m")</f>
        <v>0.817791411322209</v>
      </c>
    </row>
    <row r="175" customFormat="false" ht="12.75" hidden="false" customHeight="false" outlineLevel="0" collapsed="false">
      <c r="B175" s="61" t="s">
        <v>424</v>
      </c>
      <c r="C175" s="96" t="n">
        <v>9</v>
      </c>
      <c r="D175" s="113" t="n">
        <f aca="false">IFERROR(((($J$153*D$173+$J$156)*(1-$K$158))/($E$14+(($C175-$E$3)*$E$5)))^(1/5)-1,"n/m")</f>
        <v>0.280029098710293</v>
      </c>
      <c r="E175" s="114" t="n">
        <f aca="false">IFERROR(((($J$153*E$173+$J$156)*(1-$K$158))/($E$14+(($C175-$E$3)*$E$5)))^(1/5)-1,"n/m")</f>
        <v>0.326781295386288</v>
      </c>
      <c r="F175" s="114" t="n">
        <f aca="false">IFERROR(((($J$153*F$173+$J$156)*(1-$K$158))/($E$14+(($C175-$E$3)*$E$5)))^(1/5)-1,"n/m")</f>
        <v>0.367744063986525</v>
      </c>
      <c r="G175" s="114" t="n">
        <f aca="false">IFERROR(((($J$153*G$173+$J$156)*(1-$K$158))/($E$14+(($C175-$E$3)*$E$5)))^(1/5)-1,"n/m")</f>
        <v>0.404316754851356</v>
      </c>
      <c r="H175" s="115" t="n">
        <f aca="false">IFERROR(((($J$153*H$173+$J$156)*(1-$K$158))/($E$14+(($C175-$E$3)*$E$5)))^(1/5)-1,"n/m")</f>
        <v>0.437434219196654</v>
      </c>
    </row>
    <row r="176" customFormat="false" ht="12.75" hidden="false" customHeight="false" outlineLevel="0" collapsed="false">
      <c r="B176" s="61" t="s">
        <v>425</v>
      </c>
      <c r="C176" s="96" t="n">
        <v>10</v>
      </c>
      <c r="D176" s="113" t="n">
        <f aca="false">IFERROR(((($J$153*D$173+$J$156)*(1-$K$158))/($E$14+(($C176-$E$3)*$E$5)))^(1/5)-1,"n/m")</f>
        <v>0.152393154079241</v>
      </c>
      <c r="E176" s="114" t="n">
        <f aca="false">IFERROR(((($J$153*E$173+$J$156)*(1-$K$158))/($E$14+(($C176-$E$3)*$E$5)))^(1/5)-1,"n/m")</f>
        <v>0.194483534244713</v>
      </c>
      <c r="F176" s="104" t="n">
        <f aca="false">IFERROR(((($J$153*F$173+$J$156)*(1-$K$158))/($E$14+(($C176-$E$3)*$E$5)))^(1/5)-1,"n/m")</f>
        <v>0.231361769399373</v>
      </c>
      <c r="G176" s="114" t="n">
        <f aca="false">IFERROR(((($J$153*G$173+$J$156)*(1-$K$158))/($E$14+(($C176-$E$3)*$E$5)))^(1/5)-1,"n/m")</f>
        <v>0.264287676022396</v>
      </c>
      <c r="H176" s="115" t="n">
        <f aca="false">IFERROR(((($J$153*H$173+$J$156)*(1-$K$158))/($E$14+(($C176-$E$3)*$E$5)))^(1/5)-1,"n/m")</f>
        <v>0.29410288821596</v>
      </c>
    </row>
    <row r="177" customFormat="false" ht="12.75" hidden="false" customHeight="false" outlineLevel="0" collapsed="false">
      <c r="C177" s="96" t="n">
        <v>11</v>
      </c>
      <c r="D177" s="113" t="n">
        <f aca="false">IFERROR(((($J$153*D$173+$J$156)*(1-$K$158))/($E$14+(($C177-$E$3)*$E$5)))^(1/5)-1,"n/m")</f>
        <v>0.0760812117027203</v>
      </c>
      <c r="E177" s="114" t="n">
        <f aca="false">IFERROR(((($J$153*E$173+$J$156)*(1-$K$158))/($E$14+(($C177-$E$3)*$E$5)))^(1/5)-1,"n/m")</f>
        <v>0.115384349810719</v>
      </c>
      <c r="F177" s="114" t="n">
        <f aca="false">IFERROR(((($J$153*F$173+$J$156)*(1-$K$158))/($E$14+(($C177-$E$3)*$E$5)))^(1/5)-1,"n/m")</f>
        <v>0.149820493265938</v>
      </c>
      <c r="G177" s="114" t="n">
        <f aca="false">IFERROR(((($J$153*G$173+$J$156)*(1-$K$158))/($E$14+(($C177-$E$3)*$E$5)))^(1/5)-1,"n/m")</f>
        <v>0.180566032988987</v>
      </c>
      <c r="H177" s="115" t="n">
        <f aca="false">IFERROR(((($J$153*H$173+$J$156)*(1-$K$158))/($E$14+(($C177-$E$3)*$E$5)))^(1/5)-1,"n/m")</f>
        <v>0.208406869730211</v>
      </c>
    </row>
    <row r="178" customFormat="false" ht="12.75" hidden="false" customHeight="false" outlineLevel="0" collapsed="false">
      <c r="C178" s="96" t="n">
        <v>12</v>
      </c>
      <c r="D178" s="116" t="n">
        <f aca="false">IFERROR(((($J$153*D$173+$J$156)*(1-$K$158))/($E$14+(($C178-$E$3)*$E$5)))^(1/5)-1,"n/m")</f>
        <v>0.0226407495214036</v>
      </c>
      <c r="E178" s="117" t="n">
        <f aca="false">IFERROR(((($J$153*E$173+$J$156)*(1-$K$158))/($E$14+(($C178-$E$3)*$E$5)))^(1/5)-1,"n/m")</f>
        <v>0.059992010909667</v>
      </c>
      <c r="F178" s="117" t="n">
        <f aca="false">IFERROR(((($J$153*F$173+$J$156)*(1-$K$158))/($E$14+(($C178-$E$3)*$E$5)))^(1/5)-1,"n/m")</f>
        <v>0.0927179828629807</v>
      </c>
      <c r="G178" s="117" t="n">
        <f aca="false">IFERROR(((($J$153*G$173+$J$156)*(1-$K$158))/($E$14+(($C178-$E$3)*$E$5)))^(1/5)-1,"n/m")</f>
        <v>0.121936634248101</v>
      </c>
      <c r="H178" s="118" t="n">
        <f aca="false">IFERROR(((($J$153*H$173+$J$156)*(1-$K$158))/($E$14+(($C178-$E$3)*$E$5)))^(1/5)-1,"n/m")</f>
        <v>0.148394836326825</v>
      </c>
    </row>
    <row r="180" customFormat="false" ht="12.75" hidden="false" customHeight="false" outlineLevel="0" collapsed="false">
      <c r="C180" s="61" t="s">
        <v>426</v>
      </c>
      <c r="D180" s="108" t="s">
        <v>320</v>
      </c>
      <c r="E180" s="108"/>
      <c r="F180" s="108"/>
      <c r="G180" s="108"/>
      <c r="H180" s="108"/>
    </row>
    <row r="181" customFormat="false" ht="12.75" hidden="false" customHeight="false" outlineLevel="0" collapsed="false">
      <c r="C181" s="109" t="n">
        <f aca="false">+J168</f>
        <v>3.18029131235306</v>
      </c>
      <c r="D181" s="119" t="n">
        <v>9</v>
      </c>
      <c r="E181" s="119" t="n">
        <f aca="false">D181+1</f>
        <v>10</v>
      </c>
      <c r="F181" s="119" t="n">
        <f aca="false">E181+1</f>
        <v>11</v>
      </c>
      <c r="G181" s="119" t="n">
        <f aca="false">F181+1</f>
        <v>12</v>
      </c>
      <c r="H181" s="119" t="n">
        <f aca="false">G181+1</f>
        <v>13</v>
      </c>
    </row>
    <row r="182" customFormat="false" ht="12.75" hidden="false" customHeight="false" outlineLevel="0" collapsed="false">
      <c r="C182" s="96" t="n">
        <v>8</v>
      </c>
      <c r="D182" s="120" t="n">
        <f aca="false">IFERROR((($J$153*D$181+$J$156)*(1-$K$158))/($E$14+(($C182-$E$3)*$E$5)),"n/m")</f>
        <v>11.1142343918364</v>
      </c>
      <c r="E182" s="121" t="n">
        <f aca="false">IFERROR((($J$153*E$181+$J$156)*(1-$K$158))/($E$14+(($C182-$E$3)*$E$5)),"n/m")</f>
        <v>13.297715605366</v>
      </c>
      <c r="F182" s="121" t="n">
        <f aca="false">IFERROR((($J$153*F$181+$J$156)*(1-$K$158))/($E$14+(($C182-$E$3)*$E$5)),"n/m")</f>
        <v>15.4811968188955</v>
      </c>
      <c r="G182" s="121" t="n">
        <f aca="false">IFERROR((($J$153*G$181+$J$156)*(1-$K$158))/($E$14+(($C182-$E$3)*$E$5)),"n/m")</f>
        <v>17.664678032425</v>
      </c>
      <c r="H182" s="122" t="n">
        <f aca="false">IFERROR((($J$153*H$181+$J$156)*(1-$K$158))/($E$14+(($C182-$E$3)*$E$5)),"n/m")</f>
        <v>19.8481592459545</v>
      </c>
    </row>
    <row r="183" customFormat="false" ht="12.75" hidden="false" customHeight="false" outlineLevel="0" collapsed="false">
      <c r="B183" s="61" t="s">
        <v>424</v>
      </c>
      <c r="C183" s="96" t="n">
        <v>9</v>
      </c>
      <c r="D183" s="123" t="n">
        <f aca="false">IFERROR((($J$153*D$181+$J$156)*(1-$K$158))/($E$14+(($C183-$E$3)*$E$5)),"n/m")</f>
        <v>3.43636441083605</v>
      </c>
      <c r="E183" s="124" t="n">
        <f aca="false">IFERROR((($J$153*E$181+$J$156)*(1-$K$158))/($E$14+(($C183-$E$3)*$E$5)),"n/m")</f>
        <v>4.11146598503114</v>
      </c>
      <c r="F183" s="124" t="n">
        <f aca="false">IFERROR((($J$153*F$181+$J$156)*(1-$K$158))/($E$14+(($C183-$E$3)*$E$5)),"n/m")</f>
        <v>4.78656755922623</v>
      </c>
      <c r="G183" s="124" t="n">
        <f aca="false">IFERROR((($J$153*G$181+$J$156)*(1-$K$158))/($E$14+(($C183-$E$3)*$E$5)),"n/m")</f>
        <v>5.46166913342131</v>
      </c>
      <c r="H183" s="125" t="n">
        <f aca="false">IFERROR((($J$153*H$181+$J$156)*(1-$K$158))/($E$14+(($C183-$E$3)*$E$5)),"n/m")</f>
        <v>6.1367707076164</v>
      </c>
    </row>
    <row r="184" customFormat="false" ht="12.75" hidden="false" customHeight="false" outlineLevel="0" collapsed="false">
      <c r="B184" s="61" t="s">
        <v>425</v>
      </c>
      <c r="C184" s="96" t="n">
        <v>10</v>
      </c>
      <c r="D184" s="123" t="n">
        <f aca="false">IFERROR((($J$153*D$181+$J$156)*(1-$K$158))/($E$14+(($C184-$E$3)*$E$5)),"n/m")</f>
        <v>2.03237267950696</v>
      </c>
      <c r="E184" s="124" t="n">
        <f aca="false">IFERROR((($J$153*E$181+$J$156)*(1-$K$158))/($E$14+(($C184-$E$3)*$E$5)),"n/m")</f>
        <v>2.4316487257143</v>
      </c>
      <c r="F184" s="126" t="n">
        <f aca="false">IFERROR((($J$153*F$181+$J$156)*(1-$K$158))/($E$14+(($C184-$E$3)*$E$5)),"n/m")</f>
        <v>2.83092477192164</v>
      </c>
      <c r="G184" s="124" t="n">
        <f aca="false">IFERROR((($J$153*G$181+$J$156)*(1-$K$158))/($E$14+(($C184-$E$3)*$E$5)),"n/m")</f>
        <v>3.23020081812898</v>
      </c>
      <c r="H184" s="125" t="n">
        <f aca="false">IFERROR((($J$153*H$181+$J$156)*(1-$K$158))/($E$14+(($C184-$E$3)*$E$5)),"n/m")</f>
        <v>3.62947686433632</v>
      </c>
    </row>
    <row r="185" customFormat="false" ht="12.75" hidden="false" customHeight="false" outlineLevel="0" collapsed="false">
      <c r="C185" s="96" t="n">
        <v>11</v>
      </c>
      <c r="D185" s="123" t="n">
        <f aca="false">IFERROR((($J$153*D$181+$J$156)*(1-$K$158))/($E$14+(($C185-$E$3)*$E$5)),"n/m")</f>
        <v>1.4428634877865</v>
      </c>
      <c r="E185" s="124" t="n">
        <f aca="false">IFERROR((($J$153*E$181+$J$156)*(1-$K$158))/($E$14+(($C185-$E$3)*$E$5)),"n/m")</f>
        <v>1.72632568663877</v>
      </c>
      <c r="F185" s="124" t="n">
        <f aca="false">IFERROR((($J$153*F$181+$J$156)*(1-$K$158))/($E$14+(($C185-$E$3)*$E$5)),"n/m")</f>
        <v>2.00978788549105</v>
      </c>
      <c r="G185" s="124" t="n">
        <f aca="false">IFERROR((($J$153*G$181+$J$156)*(1-$K$158))/($E$14+(($C185-$E$3)*$E$5)),"n/m")</f>
        <v>2.29325008434332</v>
      </c>
      <c r="H185" s="125" t="n">
        <f aca="false">IFERROR((($J$153*H$181+$J$156)*(1-$K$158))/($E$14+(($C185-$E$3)*$E$5)),"n/m")</f>
        <v>2.57671228319559</v>
      </c>
    </row>
    <row r="186" customFormat="false" ht="12.75" hidden="false" customHeight="false" outlineLevel="0" collapsed="false">
      <c r="C186" s="96" t="n">
        <v>12</v>
      </c>
      <c r="D186" s="127" t="n">
        <f aca="false">IFERROR((($J$153*D$181+$J$156)*(1-$K$158))/($E$14+(($C186-$E$3)*$E$5)),"n/m")</f>
        <v>1.11844716004028</v>
      </c>
      <c r="E186" s="128" t="n">
        <f aca="false">IFERROR((($J$153*E$181+$J$156)*(1-$K$158))/($E$14+(($C186-$E$3)*$E$5)),"n/m")</f>
        <v>1.33817514814778</v>
      </c>
      <c r="F186" s="128" t="n">
        <f aca="false">IFERROR((($J$153*F$181+$J$156)*(1-$K$158))/($E$14+(($C186-$E$3)*$E$5)),"n/m")</f>
        <v>1.55790313625528</v>
      </c>
      <c r="G186" s="128" t="n">
        <f aca="false">IFERROR((($J$153*G$181+$J$156)*(1-$K$158))/($E$14+(($C186-$E$3)*$E$5)),"n/m")</f>
        <v>1.77763112436278</v>
      </c>
      <c r="H186" s="129" t="n">
        <f aca="false">IFERROR((($J$153*H$181+$J$156)*(1-$K$158))/($E$14+(($C186-$E$3)*$E$5)),"n/m")</f>
        <v>1.99735911247028</v>
      </c>
    </row>
    <row r="188" customFormat="false" ht="12.75" hidden="false" customHeight="false" outlineLevel="0" collapsed="false">
      <c r="A188" s="61" t="s">
        <v>348</v>
      </c>
      <c r="B188" s="85" t="s">
        <v>427</v>
      </c>
      <c r="C188" s="85"/>
      <c r="D188" s="85"/>
      <c r="E188" s="85"/>
      <c r="F188" s="85"/>
      <c r="G188" s="85"/>
      <c r="H188" s="85"/>
      <c r="I188" s="85"/>
      <c r="J188" s="85"/>
    </row>
    <row r="189" customFormat="false" ht="12.75" hidden="false" customHeight="false" outlineLevel="0" collapsed="false">
      <c r="E189" s="130" t="n">
        <v>2018</v>
      </c>
      <c r="F189" s="130" t="n">
        <v>2023</v>
      </c>
      <c r="G189" s="130" t="s">
        <v>411</v>
      </c>
      <c r="H189" s="130" t="s">
        <v>425</v>
      </c>
      <c r="I189" s="130" t="s">
        <v>428</v>
      </c>
      <c r="J189" s="130" t="s">
        <v>429</v>
      </c>
    </row>
    <row r="190" customFormat="false" ht="12.75" hidden="false" customHeight="false" outlineLevel="0" collapsed="false">
      <c r="B190" s="61" t="s">
        <v>430</v>
      </c>
      <c r="E190" s="75"/>
      <c r="F190" s="75"/>
      <c r="G190" s="75"/>
      <c r="H190" s="75"/>
      <c r="I190" s="75" t="n">
        <f aca="false">+E14</f>
        <v>709.79455</v>
      </c>
    </row>
    <row r="191" customFormat="false" ht="12.75" hidden="false" customHeight="false" outlineLevel="0" collapsed="false">
      <c r="E191" s="75"/>
      <c r="F191" s="75"/>
      <c r="G191" s="75"/>
      <c r="H191" s="75"/>
      <c r="I191" s="75"/>
    </row>
    <row r="192" customFormat="false" ht="12.75" hidden="false" customHeight="false" outlineLevel="0" collapsed="false">
      <c r="B192" s="93" t="s">
        <v>431</v>
      </c>
      <c r="E192" s="75"/>
      <c r="F192" s="75"/>
      <c r="G192" s="75"/>
      <c r="H192" s="75"/>
      <c r="I192" s="75"/>
    </row>
    <row r="193" customFormat="false" ht="12.75" hidden="false" customHeight="false" outlineLevel="0" collapsed="false">
      <c r="B193" s="61" t="s">
        <v>432</v>
      </c>
      <c r="E193" s="75" t="n">
        <f aca="false">+E62</f>
        <v>0</v>
      </c>
      <c r="F193" s="75" t="n">
        <f aca="false">J62</f>
        <v>40</v>
      </c>
      <c r="G193" s="75" t="n">
        <f aca="false">+F193-E193</f>
        <v>40</v>
      </c>
      <c r="H193" s="76" t="n">
        <v>1</v>
      </c>
      <c r="I193" s="75" t="n">
        <f aca="false">+G193*H193</f>
        <v>40</v>
      </c>
      <c r="J193" s="114" t="n">
        <f aca="false">+I193/$I$202</f>
        <v>0.0236279371720564</v>
      </c>
    </row>
    <row r="194" customFormat="false" ht="12.75" hidden="false" customHeight="false" outlineLevel="0" collapsed="false">
      <c r="B194" s="61" t="s">
        <v>389</v>
      </c>
      <c r="E194" s="75" t="n">
        <f aca="false">+E67</f>
        <v>1989.98</v>
      </c>
      <c r="F194" s="75" t="n">
        <f aca="false">+J67</f>
        <v>1600.79100595287</v>
      </c>
      <c r="G194" s="75" t="n">
        <f aca="false">+E194-F194</f>
        <v>389.188994047129</v>
      </c>
      <c r="H194" s="76" t="n">
        <v>1</v>
      </c>
      <c r="I194" s="75" t="n">
        <f aca="false">+G194*H194</f>
        <v>389.188994047129</v>
      </c>
      <c r="J194" s="114" t="n">
        <f aca="false">+I194/$I$202</f>
        <v>0.229893327485035</v>
      </c>
    </row>
    <row r="195" customFormat="false" ht="12.75" hidden="false" customHeight="false" outlineLevel="0" collapsed="false">
      <c r="B195" s="61" t="s">
        <v>433</v>
      </c>
      <c r="E195" s="75" t="n">
        <f aca="false">+E31</f>
        <v>290</v>
      </c>
      <c r="F195" s="75" t="n">
        <f aca="false">J31</f>
        <v>399.194014943647</v>
      </c>
      <c r="G195" s="75" t="n">
        <f aca="false">+F195-E195</f>
        <v>109.194014943647</v>
      </c>
      <c r="H195" s="76" t="n">
        <f aca="false">E4</f>
        <v>11.875</v>
      </c>
      <c r="I195" s="75" t="n">
        <f aca="false">+G195*H195</f>
        <v>1296.67892745581</v>
      </c>
      <c r="J195" s="114" t="n">
        <f aca="false">+I195/$I$202</f>
        <v>0.765946205756384</v>
      </c>
    </row>
    <row r="196" customFormat="false" ht="12.75" hidden="false" customHeight="false" outlineLevel="0" collapsed="false">
      <c r="B196" s="61" t="s">
        <v>434</v>
      </c>
      <c r="E196" s="75" t="n">
        <f aca="false">+E3</f>
        <v>10</v>
      </c>
      <c r="F196" s="75" t="n">
        <f aca="false">+E4</f>
        <v>11.875</v>
      </c>
      <c r="G196" s="75" t="n">
        <f aca="false">+F196-E196</f>
        <v>1.875</v>
      </c>
      <c r="H196" s="75" t="n">
        <f aca="false">+F195</f>
        <v>399.194014943647</v>
      </c>
      <c r="I196" s="75" t="n">
        <f aca="false">+G196*H196</f>
        <v>748.488778019338</v>
      </c>
      <c r="J196" s="114" t="n">
        <f aca="false">+I196/$I$202</f>
        <v>0.442131145525755</v>
      </c>
    </row>
    <row r="197" customFormat="false" ht="12.75" hidden="false" customHeight="false" outlineLevel="0" collapsed="false">
      <c r="B197" s="81" t="s">
        <v>435</v>
      </c>
      <c r="C197" s="81"/>
      <c r="D197" s="81"/>
      <c r="E197" s="82"/>
      <c r="F197" s="82"/>
      <c r="G197" s="82"/>
      <c r="H197" s="82"/>
      <c r="I197" s="82" t="n">
        <f aca="false">SUM(I193:I196)</f>
        <v>2474.35669952228</v>
      </c>
      <c r="J197" s="107" t="n">
        <f aca="false">SUM(J193:J196)</f>
        <v>1.46159861593923</v>
      </c>
    </row>
    <row r="198" customFormat="false" ht="12.75" hidden="false" customHeight="false" outlineLevel="0" collapsed="false">
      <c r="B198" s="61" t="s">
        <v>436</v>
      </c>
      <c r="E198" s="75"/>
      <c r="F198" s="75"/>
      <c r="G198" s="75"/>
      <c r="H198" s="75"/>
      <c r="I198" s="75" t="n">
        <f aca="false">+-J12</f>
        <v>-45</v>
      </c>
      <c r="J198" s="114" t="n">
        <f aca="false">+I198/$I$202</f>
        <v>-0.0265814293185635</v>
      </c>
    </row>
    <row r="199" customFormat="false" ht="12.75" hidden="false" customHeight="false" outlineLevel="0" collapsed="false">
      <c r="B199" s="61" t="s">
        <v>437</v>
      </c>
      <c r="E199" s="75"/>
      <c r="F199" s="75"/>
      <c r="G199" s="75"/>
      <c r="H199" s="75"/>
      <c r="I199" s="75" t="n">
        <f aca="false">+-J13</f>
        <v>-44.77455</v>
      </c>
      <c r="J199" s="114" t="n">
        <f aca="false">+I199/$I$202</f>
        <v>-0.0264482563576775</v>
      </c>
    </row>
    <row r="200" customFormat="false" ht="12.75" hidden="false" customHeight="false" outlineLevel="0" collapsed="false">
      <c r="B200" s="81" t="s">
        <v>438</v>
      </c>
      <c r="C200" s="81"/>
      <c r="D200" s="81"/>
      <c r="E200" s="82"/>
      <c r="F200" s="82"/>
      <c r="G200" s="82"/>
      <c r="H200" s="82"/>
      <c r="I200" s="82" t="n">
        <f aca="false">SUM(I197:I199)</f>
        <v>2384.58214952228</v>
      </c>
      <c r="J200" s="107" t="n">
        <f aca="false">SUM(J197:J199)</f>
        <v>1.40856893026299</v>
      </c>
    </row>
    <row r="201" customFormat="false" ht="12.75" hidden="false" customHeight="false" outlineLevel="0" collapsed="false">
      <c r="B201" s="61" t="s">
        <v>439</v>
      </c>
      <c r="E201" s="75"/>
      <c r="F201" s="75"/>
      <c r="G201" s="75"/>
      <c r="H201" s="75"/>
      <c r="I201" s="75" t="n">
        <f aca="false">+-I200*K158</f>
        <v>-691.670927153444</v>
      </c>
      <c r="J201" s="114" t="n">
        <f aca="false">+I201/$I$202</f>
        <v>-0.40856893026299</v>
      </c>
    </row>
    <row r="202" customFormat="false" ht="12.75" hidden="false" customHeight="false" outlineLevel="0" collapsed="false">
      <c r="B202" s="81" t="s">
        <v>440</v>
      </c>
      <c r="C202" s="81"/>
      <c r="D202" s="81"/>
      <c r="E202" s="82"/>
      <c r="F202" s="82"/>
      <c r="G202" s="82"/>
      <c r="H202" s="82"/>
      <c r="I202" s="82" t="n">
        <f aca="false">SUM(I200:I201)</f>
        <v>1692.91122236883</v>
      </c>
      <c r="J202" s="107" t="n">
        <f aca="false">SUM(J200:J201)</f>
        <v>1</v>
      </c>
    </row>
    <row r="203" customFormat="false" ht="12.75" hidden="false" customHeight="false" outlineLevel="0" collapsed="false">
      <c r="E203" s="75"/>
      <c r="F203" s="75"/>
      <c r="G203" s="75"/>
      <c r="H203" s="75"/>
      <c r="I203" s="75"/>
    </row>
    <row r="204" customFormat="false" ht="12.75" hidden="false" customHeight="false" outlineLevel="0" collapsed="false">
      <c r="B204" s="61" t="s">
        <v>441</v>
      </c>
      <c r="E204" s="75"/>
      <c r="F204" s="75"/>
      <c r="G204" s="75"/>
      <c r="H204" s="75"/>
      <c r="I204" s="75" t="n">
        <f aca="false">+I190+I202</f>
        <v>2402.70577236883</v>
      </c>
    </row>
    <row r="205" customFormat="false" ht="12.75" hidden="false" customHeight="false" outlineLevel="0" collapsed="false">
      <c r="B205" s="61" t="s">
        <v>442</v>
      </c>
      <c r="E205" s="75"/>
      <c r="F205" s="75"/>
      <c r="G205" s="75"/>
      <c r="H205" s="75"/>
      <c r="I205" s="75" t="n">
        <f aca="false">+J159</f>
        <v>2257.35344092055</v>
      </c>
    </row>
    <row r="207" s="131" customFormat="true" ht="12.75" hidden="false" customHeight="false" outlineLevel="0" collapsed="false">
      <c r="A207" s="131" t="s">
        <v>348</v>
      </c>
      <c r="B207" s="131" t="s">
        <v>443</v>
      </c>
      <c r="I207" s="132" t="n">
        <f aca="false">I204-I205</f>
        <v>145.352331448282</v>
      </c>
    </row>
  </sheetData>
  <mergeCells count="6">
    <mergeCell ref="B2:J2"/>
    <mergeCell ref="B10:E10"/>
    <mergeCell ref="G10:J10"/>
    <mergeCell ref="B17:E17"/>
    <mergeCell ref="D172:H172"/>
    <mergeCell ref="D180:H1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2.75" zeroHeight="false" outlineLevelRow="0" outlineLevelCol="0"/>
  <cols>
    <col collapsed="false" customWidth="true" hidden="false" outlineLevel="0" max="1" min="1" style="61" width="2.82"/>
    <col collapsed="false" customWidth="true" hidden="false" outlineLevel="0" max="2" min="2" style="61" width="11.54"/>
    <col collapsed="false" customWidth="false" hidden="false" outlineLevel="0" max="16384" min="3" style="61" width="8.73"/>
  </cols>
  <sheetData>
    <row r="1" customFormat="false" ht="16.15" hidden="false" customHeight="false" outlineLevel="0" collapsed="false">
      <c r="B1" s="62" t="s">
        <v>447</v>
      </c>
    </row>
    <row r="2" customFormat="false" ht="12.75" hidden="false" customHeight="false" outlineLevel="0" collapsed="false">
      <c r="B2" s="63" t="s">
        <v>315</v>
      </c>
      <c r="C2" s="63"/>
      <c r="D2" s="63"/>
      <c r="E2" s="63"/>
      <c r="F2" s="63"/>
      <c r="G2" s="63"/>
      <c r="H2" s="63"/>
      <c r="I2" s="63"/>
      <c r="J2" s="63"/>
      <c r="L2" s="14" t="s">
        <v>316</v>
      </c>
    </row>
    <row r="3" customFormat="false" ht="137.3" hidden="false" customHeight="false" outlineLevel="0" collapsed="false">
      <c r="B3" s="61" t="s">
        <v>317</v>
      </c>
      <c r="E3" s="64" t="n">
        <v>12.5</v>
      </c>
      <c r="G3" s="61" t="s">
        <v>318</v>
      </c>
      <c r="I3" s="64" t="n">
        <v>6.667</v>
      </c>
      <c r="J3" s="65" t="n">
        <v>0.02</v>
      </c>
      <c r="L3" s="2" t="s">
        <v>448</v>
      </c>
    </row>
    <row r="4" customFormat="false" ht="85.05" hidden="false" customHeight="false" outlineLevel="0" collapsed="false">
      <c r="B4" s="61" t="s">
        <v>320</v>
      </c>
      <c r="E4" s="64" t="n">
        <v>6</v>
      </c>
      <c r="G4" s="61" t="s">
        <v>321</v>
      </c>
      <c r="I4" s="64" t="n">
        <v>1.333</v>
      </c>
      <c r="J4" s="65" t="n">
        <v>0.02</v>
      </c>
      <c r="L4" s="2" t="s">
        <v>449</v>
      </c>
    </row>
    <row r="5" customFormat="false" ht="231.3" hidden="false" customHeight="false" outlineLevel="0" collapsed="false">
      <c r="B5" s="61" t="s">
        <v>323</v>
      </c>
      <c r="E5" s="66" t="n">
        <v>1500</v>
      </c>
      <c r="G5" s="61" t="s">
        <v>324</v>
      </c>
      <c r="I5" s="67" t="n">
        <v>365</v>
      </c>
      <c r="L5" s="2" t="s">
        <v>325</v>
      </c>
    </row>
    <row r="6" customFormat="false" ht="179.1" hidden="false" customHeight="false" outlineLevel="0" collapsed="false">
      <c r="B6" s="61" t="s">
        <v>326</v>
      </c>
      <c r="E6" s="68" t="n">
        <v>7</v>
      </c>
      <c r="G6" s="61" t="s">
        <v>327</v>
      </c>
      <c r="I6" s="69" t="n">
        <v>0.35</v>
      </c>
      <c r="L6" s="2" t="s">
        <v>328</v>
      </c>
    </row>
    <row r="7" customFormat="false" ht="408.2" hidden="false" customHeight="false" outlineLevel="0" collapsed="false">
      <c r="B7" s="61" t="s">
        <v>329</v>
      </c>
      <c r="E7" s="68" t="n">
        <v>10</v>
      </c>
      <c r="L7" s="2" t="s">
        <v>330</v>
      </c>
    </row>
    <row r="8" customFormat="false" ht="179.1" hidden="false" customHeight="false" outlineLevel="0" collapsed="false">
      <c r="B8" s="61" t="s">
        <v>331</v>
      </c>
      <c r="E8" s="70" t="n">
        <v>0.0715</v>
      </c>
      <c r="G8" s="71" t="s">
        <v>332</v>
      </c>
      <c r="H8" s="72"/>
      <c r="I8" s="73" t="n">
        <v>1</v>
      </c>
      <c r="J8" s="74" t="s">
        <v>333</v>
      </c>
      <c r="L8" s="2" t="s">
        <v>334</v>
      </c>
    </row>
    <row r="10" customFormat="false" ht="12.75" hidden="false" customHeight="false" outlineLevel="0" collapsed="false">
      <c r="B10" s="63" t="s">
        <v>79</v>
      </c>
      <c r="C10" s="63"/>
      <c r="D10" s="63"/>
      <c r="E10" s="63"/>
      <c r="G10" s="63" t="s">
        <v>80</v>
      </c>
      <c r="H10" s="63"/>
      <c r="I10" s="63"/>
      <c r="J10" s="63"/>
    </row>
    <row r="11" customFormat="false" ht="12.75" hidden="false" customHeight="false" outlineLevel="0" collapsed="false">
      <c r="B11" s="61" t="s">
        <v>335</v>
      </c>
      <c r="E11" s="75" t="n">
        <f aca="false">+I3*$E$5</f>
        <v>10000.5</v>
      </c>
      <c r="G11" s="61" t="s">
        <v>336</v>
      </c>
      <c r="J11" s="75" t="n">
        <f aca="false">+E18</f>
        <v>18750</v>
      </c>
    </row>
    <row r="12" customFormat="false" ht="12.75" hidden="false" customHeight="false" outlineLevel="0" collapsed="false">
      <c r="B12" s="61" t="s">
        <v>337</v>
      </c>
      <c r="E12" s="75" t="n">
        <f aca="false">+I4*$E$5</f>
        <v>1999.5</v>
      </c>
      <c r="G12" s="61" t="s">
        <v>338</v>
      </c>
      <c r="J12" s="66" t="n">
        <v>150</v>
      </c>
    </row>
    <row r="13" customFormat="false" ht="12.75" hidden="false" customHeight="false" outlineLevel="0" collapsed="false">
      <c r="B13" s="61" t="s">
        <v>339</v>
      </c>
      <c r="E13" s="75" t="n">
        <f aca="false">+E18*E8</f>
        <v>1340.625</v>
      </c>
      <c r="G13" s="61" t="s">
        <v>340</v>
      </c>
      <c r="J13" s="76" t="n">
        <f aca="false">+J3*E11+J4*E12</f>
        <v>240</v>
      </c>
    </row>
    <row r="14" customFormat="false" ht="12.75" hidden="false" customHeight="false" outlineLevel="0" collapsed="false">
      <c r="B14" s="61" t="s">
        <v>341</v>
      </c>
      <c r="E14" s="75" t="n">
        <f aca="false">E15-SUM(E11:E13)</f>
        <v>5799.375</v>
      </c>
      <c r="J14" s="75"/>
    </row>
    <row r="15" customFormat="false" ht="12.75" hidden="false" customHeight="false" outlineLevel="0" collapsed="false">
      <c r="B15" s="77" t="s">
        <v>92</v>
      </c>
      <c r="C15" s="77"/>
      <c r="D15" s="77"/>
      <c r="E15" s="78" t="n">
        <f aca="false">J15</f>
        <v>19140</v>
      </c>
      <c r="G15" s="77" t="s">
        <v>93</v>
      </c>
      <c r="H15" s="77"/>
      <c r="I15" s="77"/>
      <c r="J15" s="78" t="n">
        <f aca="false">SUM(J11:J14)</f>
        <v>19140</v>
      </c>
    </row>
    <row r="17" customFormat="false" ht="12.75" hidden="false" customHeight="false" outlineLevel="0" collapsed="false">
      <c r="B17" s="63" t="s">
        <v>342</v>
      </c>
      <c r="C17" s="63"/>
      <c r="D17" s="63"/>
      <c r="E17" s="63"/>
      <c r="G17" s="79"/>
    </row>
    <row r="18" customFormat="false" ht="12.75" hidden="false" customHeight="false" outlineLevel="0" collapsed="false">
      <c r="B18" s="61" t="s">
        <v>85</v>
      </c>
      <c r="E18" s="75" t="n">
        <f aca="false">+E3*E5</f>
        <v>18750</v>
      </c>
      <c r="G18" s="80"/>
    </row>
    <row r="19" customFormat="false" ht="12.75" hidden="false" customHeight="false" outlineLevel="0" collapsed="false">
      <c r="B19" s="61" t="s">
        <v>343</v>
      </c>
      <c r="E19" s="66" t="n">
        <v>-12000</v>
      </c>
      <c r="G19" s="79"/>
    </row>
    <row r="20" customFormat="false" ht="12.75" hidden="false" customHeight="false" outlineLevel="0" collapsed="false">
      <c r="B20" s="81" t="s">
        <v>344</v>
      </c>
      <c r="C20" s="81"/>
      <c r="D20" s="81"/>
      <c r="E20" s="82" t="n">
        <f aca="false">SUM(E18:E19)</f>
        <v>6750</v>
      </c>
      <c r="G20" s="79"/>
    </row>
    <row r="21" customFormat="false" ht="12.75" hidden="false" customHeight="false" outlineLevel="0" collapsed="false">
      <c r="B21" s="61" t="s">
        <v>345</v>
      </c>
      <c r="D21" s="69" t="n">
        <v>0.3</v>
      </c>
      <c r="E21" s="75" t="n">
        <f aca="false">+-E20*D21</f>
        <v>-2025</v>
      </c>
      <c r="G21" s="79"/>
    </row>
    <row r="22" customFormat="false" ht="12.75" hidden="false" customHeight="false" outlineLevel="0" collapsed="false">
      <c r="B22" s="61" t="s">
        <v>346</v>
      </c>
      <c r="D22" s="69" t="n">
        <v>0.35</v>
      </c>
      <c r="E22" s="75" t="n">
        <f aca="false">+-E21*D22</f>
        <v>708.75</v>
      </c>
      <c r="G22" s="79"/>
    </row>
    <row r="23" customFormat="false" ht="12.75" hidden="false" customHeight="false" outlineLevel="0" collapsed="false">
      <c r="B23" s="83" t="s">
        <v>347</v>
      </c>
      <c r="C23" s="83"/>
      <c r="D23" s="83"/>
      <c r="E23" s="84" t="n">
        <f aca="false">SUM(E20:E22)</f>
        <v>5433.75</v>
      </c>
    </row>
    <row r="25" customFormat="false" ht="12.75" hidden="false" customHeight="false" outlineLevel="0" collapsed="false">
      <c r="A25" s="61" t="s">
        <v>348</v>
      </c>
      <c r="B25" s="85" t="s">
        <v>349</v>
      </c>
      <c r="C25" s="85"/>
      <c r="D25" s="85"/>
      <c r="E25" s="85" t="n">
        <v>2006</v>
      </c>
      <c r="F25" s="85" t="n">
        <f aca="false">E25+1</f>
        <v>2007</v>
      </c>
      <c r="G25" s="85" t="n">
        <f aca="false">F25+1</f>
        <v>2008</v>
      </c>
      <c r="H25" s="85" t="n">
        <f aca="false">G25+1</f>
        <v>2009</v>
      </c>
      <c r="I25" s="85" t="n">
        <f aca="false">H25+1</f>
        <v>2010</v>
      </c>
      <c r="J25" s="85" t="n">
        <f aca="false">I25+1</f>
        <v>2011</v>
      </c>
    </row>
    <row r="26" customFormat="false" ht="12.75" hidden="false" customHeight="false" outlineLevel="0" collapsed="false">
      <c r="B26" s="86" t="s">
        <v>117</v>
      </c>
      <c r="C26" s="86"/>
      <c r="D26" s="86"/>
      <c r="E26" s="84" t="n">
        <f aca="false">+E31/E32</f>
        <v>60000</v>
      </c>
      <c r="F26" s="84" t="n">
        <f aca="false">+E26*(1+F27)</f>
        <v>60000</v>
      </c>
      <c r="G26" s="84" t="n">
        <f aca="false">+F26*(1+G27)</f>
        <v>60000</v>
      </c>
      <c r="H26" s="84" t="n">
        <f aca="false">+G26*(1+H27)</f>
        <v>60000</v>
      </c>
      <c r="I26" s="84" t="n">
        <f aca="false">+H26*(1+I27)</f>
        <v>60000</v>
      </c>
      <c r="J26" s="84" t="n">
        <f aca="false">+I26*(1+J27)</f>
        <v>60000</v>
      </c>
    </row>
    <row r="27" customFormat="false" ht="12.75" hidden="false" customHeight="false" outlineLevel="0" collapsed="false">
      <c r="B27" s="87" t="s">
        <v>350</v>
      </c>
      <c r="F27" s="69" t="n">
        <v>0</v>
      </c>
      <c r="G27" s="88" t="n">
        <f aca="false">+F27</f>
        <v>0</v>
      </c>
      <c r="H27" s="88" t="n">
        <f aca="false">+G27</f>
        <v>0</v>
      </c>
      <c r="I27" s="88" t="n">
        <f aca="false">+H27</f>
        <v>0</v>
      </c>
      <c r="J27" s="88" t="n">
        <f aca="false">+I27</f>
        <v>0</v>
      </c>
    </row>
    <row r="28" customFormat="false" ht="12.75" hidden="false" customHeight="false" outlineLevel="0" collapsed="false">
      <c r="B28" s="61" t="s">
        <v>351</v>
      </c>
      <c r="E28" s="75" t="n">
        <f aca="false">E29-E26</f>
        <v>-51000</v>
      </c>
      <c r="F28" s="75" t="n">
        <f aca="false">F29-F26</f>
        <v>-51000</v>
      </c>
      <c r="G28" s="75" t="n">
        <f aca="false">G29-G26</f>
        <v>-51000</v>
      </c>
      <c r="H28" s="75" t="n">
        <f aca="false">H29-H26</f>
        <v>-51000</v>
      </c>
      <c r="I28" s="75" t="n">
        <f aca="false">I29-I26</f>
        <v>-51000</v>
      </c>
      <c r="J28" s="75" t="n">
        <f aca="false">J29-J26</f>
        <v>-51000</v>
      </c>
    </row>
    <row r="29" customFormat="false" ht="12.75" hidden="false" customHeight="false" outlineLevel="0" collapsed="false">
      <c r="B29" s="83" t="s">
        <v>352</v>
      </c>
      <c r="C29" s="83"/>
      <c r="D29" s="83"/>
      <c r="E29" s="84" t="n">
        <f aca="false">+E26*E30</f>
        <v>9000</v>
      </c>
      <c r="F29" s="84" t="n">
        <f aca="false">+F26*F30</f>
        <v>9000</v>
      </c>
      <c r="G29" s="84" t="n">
        <f aca="false">+G26*G30</f>
        <v>9000</v>
      </c>
      <c r="H29" s="84" t="n">
        <f aca="false">+H26*H30</f>
        <v>9000</v>
      </c>
      <c r="I29" s="84" t="n">
        <f aca="false">+I26*I30</f>
        <v>9000</v>
      </c>
      <c r="J29" s="84" t="n">
        <f aca="false">+J26*J30</f>
        <v>9000</v>
      </c>
    </row>
    <row r="30" customFormat="false" ht="12.75" hidden="false" customHeight="false" outlineLevel="0" collapsed="false">
      <c r="B30" s="87" t="s">
        <v>353</v>
      </c>
      <c r="E30" s="69" t="n">
        <v>0.15</v>
      </c>
      <c r="F30" s="88" t="n">
        <f aca="false">+E30</f>
        <v>0.15</v>
      </c>
      <c r="G30" s="88" t="n">
        <f aca="false">+F30</f>
        <v>0.15</v>
      </c>
      <c r="H30" s="88" t="n">
        <f aca="false">+G30</f>
        <v>0.15</v>
      </c>
      <c r="I30" s="88" t="n">
        <f aca="false">+H30</f>
        <v>0.15</v>
      </c>
      <c r="J30" s="88" t="n">
        <f aca="false">+I30</f>
        <v>0.15</v>
      </c>
    </row>
    <row r="31" customFormat="false" ht="12.75" hidden="false" customHeight="false" outlineLevel="0" collapsed="false">
      <c r="B31" s="86" t="s">
        <v>125</v>
      </c>
      <c r="C31" s="86"/>
      <c r="D31" s="86"/>
      <c r="E31" s="89" t="n">
        <f aca="false">+E5</f>
        <v>1500</v>
      </c>
      <c r="F31" s="89" t="n">
        <f aca="false">+F26*F32</f>
        <v>2100</v>
      </c>
      <c r="G31" s="89" t="n">
        <f aca="false">+G26*G32</f>
        <v>2700</v>
      </c>
      <c r="H31" s="89" t="n">
        <f aca="false">+H26*H32</f>
        <v>3300</v>
      </c>
      <c r="I31" s="89" t="n">
        <f aca="false">+I26*I32</f>
        <v>3600</v>
      </c>
      <c r="J31" s="89" t="n">
        <f aca="false">+J26*J32</f>
        <v>3600</v>
      </c>
    </row>
    <row r="32" customFormat="false" ht="12.75" hidden="false" customHeight="false" outlineLevel="0" collapsed="false">
      <c r="B32" s="90" t="s">
        <v>354</v>
      </c>
      <c r="E32" s="69" t="n">
        <v>0.025</v>
      </c>
      <c r="F32" s="69" t="n">
        <v>0.035</v>
      </c>
      <c r="G32" s="69" t="n">
        <v>0.045</v>
      </c>
      <c r="H32" s="69" t="n">
        <v>0.055</v>
      </c>
      <c r="I32" s="69" t="n">
        <v>0.06</v>
      </c>
      <c r="J32" s="69" t="n">
        <v>0.06</v>
      </c>
    </row>
    <row r="33" customFormat="false" ht="12.75" hidden="false" customHeight="false" outlineLevel="0" collapsed="false">
      <c r="B33" s="61" t="s">
        <v>136</v>
      </c>
      <c r="F33" s="75" t="n">
        <f aca="false">+-F26*F46+F42</f>
        <v>-3022.5</v>
      </c>
      <c r="G33" s="75" t="n">
        <f aca="false">+-G26*G46+G42</f>
        <v>-3022.5</v>
      </c>
      <c r="H33" s="75" t="n">
        <f aca="false">+-H26*H46+H42</f>
        <v>-3022.5</v>
      </c>
      <c r="I33" s="75" t="n">
        <f aca="false">+-I26*I46+I42</f>
        <v>-3022.5</v>
      </c>
      <c r="J33" s="75" t="n">
        <f aca="false">+-J26*J46+J42</f>
        <v>-3022.5</v>
      </c>
    </row>
    <row r="34" customFormat="false" ht="12.75" hidden="false" customHeight="false" outlineLevel="0" collapsed="false">
      <c r="B34" s="83" t="s">
        <v>137</v>
      </c>
      <c r="C34" s="83"/>
      <c r="D34" s="83"/>
      <c r="E34" s="83"/>
      <c r="F34" s="84" t="n">
        <f aca="false">+F31+F33</f>
        <v>-922.5</v>
      </c>
      <c r="G34" s="84" t="n">
        <f aca="false">+G31+G33</f>
        <v>-322.5</v>
      </c>
      <c r="H34" s="84" t="n">
        <f aca="false">+H31+H33</f>
        <v>277.5</v>
      </c>
      <c r="I34" s="84" t="n">
        <f aca="false">+I31+I33</f>
        <v>577.5</v>
      </c>
      <c r="J34" s="84" t="n">
        <f aca="false">+J31+J33</f>
        <v>577.5</v>
      </c>
    </row>
    <row r="35" customFormat="false" ht="12.75" hidden="false" customHeight="false" outlineLevel="0" collapsed="false">
      <c r="B35" s="61" t="s">
        <v>355</v>
      </c>
      <c r="F35" s="91" t="n">
        <f aca="false">+$I$8*F150</f>
        <v>-1089.9825</v>
      </c>
      <c r="G35" s="91" t="n">
        <f aca="false">+$I$8*G150</f>
        <v>-1264.93062875</v>
      </c>
      <c r="H35" s="91" t="n">
        <f aca="false">+$I$8*H150</f>
        <v>-1277.80889735813</v>
      </c>
      <c r="I35" s="91" t="n">
        <f aca="false">+$I$8*I150</f>
        <v>-1263.97312718792</v>
      </c>
      <c r="J35" s="91" t="n">
        <f aca="false">+$I$8*J150</f>
        <v>-1235.85782947497</v>
      </c>
    </row>
    <row r="36" customFormat="false" ht="12.75" hidden="false" customHeight="false" outlineLevel="0" collapsed="false">
      <c r="B36" s="61" t="s">
        <v>356</v>
      </c>
      <c r="F36" s="91" t="n">
        <f aca="false">+$I$8*F148</f>
        <v>0</v>
      </c>
      <c r="G36" s="91" t="n">
        <f aca="false">+$I$8*G148</f>
        <v>60</v>
      </c>
      <c r="H36" s="91" t="n">
        <f aca="false">+$I$8*H148</f>
        <v>60</v>
      </c>
      <c r="I36" s="91" t="n">
        <f aca="false">+$I$8*I148</f>
        <v>60</v>
      </c>
      <c r="J36" s="91" t="n">
        <f aca="false">+$I$8*J148</f>
        <v>60</v>
      </c>
    </row>
    <row r="37" customFormat="false" ht="12.75" hidden="false" customHeight="false" outlineLevel="0" collapsed="false">
      <c r="B37" s="61" t="s">
        <v>357</v>
      </c>
      <c r="F37" s="75" t="n">
        <f aca="false">+-$J$13/$E$6</f>
        <v>-34.2857142857143</v>
      </c>
      <c r="G37" s="75" t="n">
        <f aca="false">+-$J$13/$E$6</f>
        <v>-34.2857142857143</v>
      </c>
      <c r="H37" s="75" t="n">
        <f aca="false">+-$J$13/$E$6</f>
        <v>-34.2857142857143</v>
      </c>
      <c r="I37" s="75" t="n">
        <f aca="false">+-$J$13/$E$6</f>
        <v>-34.2857142857143</v>
      </c>
      <c r="J37" s="75" t="n">
        <f aca="false">+-$J$13/$E$6</f>
        <v>-34.2857142857143</v>
      </c>
    </row>
    <row r="38" customFormat="false" ht="12.75" hidden="false" customHeight="false" outlineLevel="0" collapsed="false">
      <c r="B38" s="83" t="s">
        <v>139</v>
      </c>
      <c r="C38" s="83"/>
      <c r="D38" s="83"/>
      <c r="E38" s="83"/>
      <c r="F38" s="84" t="n">
        <f aca="false">SUM(F34:F37)</f>
        <v>-2046.76821428571</v>
      </c>
      <c r="G38" s="84" t="n">
        <f aca="false">SUM(G34:G37)</f>
        <v>-1561.71634303571</v>
      </c>
      <c r="H38" s="84" t="n">
        <f aca="false">SUM(H34:H37)</f>
        <v>-974.59461164384</v>
      </c>
      <c r="I38" s="84" t="n">
        <f aca="false">SUM(I34:I37)</f>
        <v>-660.758841473634</v>
      </c>
      <c r="J38" s="84" t="n">
        <f aca="false">SUM(J34:J37)</f>
        <v>-632.643543760685</v>
      </c>
    </row>
    <row r="39" customFormat="false" ht="12.75" hidden="false" customHeight="false" outlineLevel="0" collapsed="false">
      <c r="B39" s="61" t="s">
        <v>140</v>
      </c>
      <c r="F39" s="75" t="n">
        <f aca="false">+-F38*$I$6</f>
        <v>716.368875</v>
      </c>
      <c r="G39" s="75" t="n">
        <f aca="false">+-G38*$I$6</f>
        <v>546.6007200625</v>
      </c>
      <c r="H39" s="75" t="n">
        <f aca="false">+-H38*$I$6</f>
        <v>341.108114075344</v>
      </c>
      <c r="I39" s="75" t="n">
        <f aca="false">+-I38*$I$6</f>
        <v>231.265594515772</v>
      </c>
      <c r="J39" s="75" t="n">
        <f aca="false">+-J38*$I$6</f>
        <v>221.42524031624</v>
      </c>
    </row>
    <row r="40" customFormat="false" ht="12.75" hidden="false" customHeight="false" outlineLevel="0" collapsed="false">
      <c r="B40" s="83" t="s">
        <v>141</v>
      </c>
      <c r="C40" s="83"/>
      <c r="D40" s="83"/>
      <c r="E40" s="83"/>
      <c r="F40" s="84" t="n">
        <f aca="false">SUM(F38:F39)</f>
        <v>-1330.39933928571</v>
      </c>
      <c r="G40" s="84" t="n">
        <f aca="false">SUM(G38:G39)</f>
        <v>-1015.11562297321</v>
      </c>
      <c r="H40" s="84" t="n">
        <f aca="false">SUM(H38:H39)</f>
        <v>-633.486497568496</v>
      </c>
      <c r="I40" s="84" t="n">
        <f aca="false">SUM(I38:I39)</f>
        <v>-429.493246957862</v>
      </c>
      <c r="J40" s="84" t="n">
        <f aca="false">SUM(J38:J39)</f>
        <v>-411.218303444445</v>
      </c>
    </row>
    <row r="41" customFormat="false" ht="12.75" hidden="false" customHeight="false" outlineLevel="0" collapsed="false">
      <c r="F41" s="75"/>
      <c r="G41" s="75"/>
      <c r="H41" s="75"/>
      <c r="I41" s="75"/>
      <c r="J41" s="75"/>
    </row>
    <row r="42" customFormat="false" ht="12.75" hidden="false" customHeight="false" outlineLevel="0" collapsed="false">
      <c r="B42" s="61" t="s">
        <v>358</v>
      </c>
      <c r="F42" s="75" t="n">
        <f aca="false">+$E$21/$E$7</f>
        <v>-202.5</v>
      </c>
      <c r="G42" s="75" t="n">
        <f aca="false">+$E$21/$E$7</f>
        <v>-202.5</v>
      </c>
      <c r="H42" s="75" t="n">
        <f aca="false">+$E$21/$E$7</f>
        <v>-202.5</v>
      </c>
      <c r="I42" s="75" t="n">
        <f aca="false">+$E$21/$E$7</f>
        <v>-202.5</v>
      </c>
      <c r="J42" s="75" t="n">
        <f aca="false">+$E$21/$E$7</f>
        <v>-202.5</v>
      </c>
    </row>
    <row r="43" customFormat="false" ht="12.75" hidden="false" customHeight="false" outlineLevel="0" collapsed="false">
      <c r="B43" s="61" t="s">
        <v>346</v>
      </c>
      <c r="F43" s="75" t="n">
        <f aca="false">+F42*$D$22</f>
        <v>-70.875</v>
      </c>
      <c r="G43" s="75" t="n">
        <f aca="false">+G42*$D$22</f>
        <v>-70.875</v>
      </c>
      <c r="H43" s="75" t="n">
        <f aca="false">+H42*$D$22</f>
        <v>-70.875</v>
      </c>
      <c r="I43" s="75" t="n">
        <f aca="false">+I42*$D$22</f>
        <v>-70.875</v>
      </c>
      <c r="J43" s="75" t="n">
        <f aca="false">+J42*$D$22</f>
        <v>-70.875</v>
      </c>
    </row>
    <row r="44" customFormat="false" ht="12.75" hidden="false" customHeight="false" outlineLevel="0" collapsed="false">
      <c r="B44" s="61" t="s">
        <v>359</v>
      </c>
      <c r="F44" s="75" t="n">
        <f aca="false">-F47*F33</f>
        <v>2176.2</v>
      </c>
      <c r="G44" s="75" t="n">
        <f aca="false">-G47*G33</f>
        <v>2176.2</v>
      </c>
      <c r="H44" s="75" t="n">
        <f aca="false">-H47*H33</f>
        <v>2176.2</v>
      </c>
      <c r="I44" s="75" t="n">
        <f aca="false">-I47*I33</f>
        <v>2176.2</v>
      </c>
      <c r="J44" s="75" t="n">
        <f aca="false">-J47*J33</f>
        <v>2176.2</v>
      </c>
    </row>
    <row r="46" customFormat="false" ht="12.75" hidden="false" customHeight="false" outlineLevel="0" collapsed="false">
      <c r="B46" s="61" t="s">
        <v>360</v>
      </c>
      <c r="F46" s="69" t="n">
        <v>0.047</v>
      </c>
      <c r="G46" s="92" t="n">
        <f aca="false">+F46</f>
        <v>0.047</v>
      </c>
      <c r="H46" s="92" t="n">
        <f aca="false">+G46</f>
        <v>0.047</v>
      </c>
      <c r="I46" s="92" t="n">
        <f aca="false">+H46</f>
        <v>0.047</v>
      </c>
      <c r="J46" s="92" t="n">
        <f aca="false">+I46</f>
        <v>0.047</v>
      </c>
    </row>
    <row r="47" customFormat="false" ht="12.75" hidden="false" customHeight="false" outlineLevel="0" collapsed="false">
      <c r="B47" s="61" t="s">
        <v>361</v>
      </c>
      <c r="F47" s="69" t="n">
        <v>0.72</v>
      </c>
      <c r="G47" s="92" t="n">
        <f aca="false">+F47</f>
        <v>0.72</v>
      </c>
      <c r="H47" s="92" t="n">
        <f aca="false">+G47</f>
        <v>0.72</v>
      </c>
      <c r="I47" s="92" t="n">
        <f aca="false">+H47</f>
        <v>0.72</v>
      </c>
      <c r="J47" s="92" t="n">
        <f aca="false">+I47</f>
        <v>0.72</v>
      </c>
    </row>
    <row r="49" customFormat="false" ht="12.75" hidden="false" customHeight="false" outlineLevel="0" collapsed="false">
      <c r="A49" s="61" t="s">
        <v>348</v>
      </c>
      <c r="B49" s="85" t="s">
        <v>362</v>
      </c>
      <c r="C49" s="85"/>
      <c r="D49" s="85"/>
      <c r="E49" s="85" t="n">
        <v>2013</v>
      </c>
      <c r="F49" s="85" t="n">
        <f aca="false">E49+1</f>
        <v>2014</v>
      </c>
      <c r="G49" s="85" t="n">
        <f aca="false">F49+1</f>
        <v>2015</v>
      </c>
      <c r="H49" s="85" t="n">
        <f aca="false">G49+1</f>
        <v>2016</v>
      </c>
      <c r="I49" s="85" t="n">
        <f aca="false">H49+1</f>
        <v>2017</v>
      </c>
      <c r="J49" s="85" t="n">
        <f aca="false">I49+1</f>
        <v>2018</v>
      </c>
    </row>
    <row r="50" customFormat="false" ht="12.75" hidden="false" customHeight="false" outlineLevel="0" collapsed="false">
      <c r="B50" s="61" t="s">
        <v>363</v>
      </c>
      <c r="E50" s="75" t="n">
        <f aca="false">+E26*E57/$I$5</f>
        <v>3287.67123287671</v>
      </c>
      <c r="F50" s="75" t="n">
        <f aca="false">+F26*F57/$I$5</f>
        <v>3287.67123287671</v>
      </c>
      <c r="G50" s="75" t="n">
        <f aca="false">+G26*G57/$I$5</f>
        <v>3287.67123287671</v>
      </c>
      <c r="H50" s="75" t="n">
        <f aca="false">+H26*H57/$I$5</f>
        <v>3287.67123287671</v>
      </c>
      <c r="I50" s="75" t="n">
        <f aca="false">+I26*I57/$I$5</f>
        <v>3287.67123287671</v>
      </c>
      <c r="J50" s="75" t="n">
        <f aca="false">+J26*J57/$I$5</f>
        <v>3287.67123287671</v>
      </c>
    </row>
    <row r="51" customFormat="false" ht="12.75" hidden="false" customHeight="false" outlineLevel="0" collapsed="false">
      <c r="B51" s="61" t="s">
        <v>364</v>
      </c>
      <c r="E51" s="75" t="n">
        <f aca="false">-E28/E58</f>
        <v>6375</v>
      </c>
      <c r="F51" s="75" t="n">
        <f aca="false">-F28/F58</f>
        <v>6375</v>
      </c>
      <c r="G51" s="75" t="n">
        <f aca="false">-G28/G58</f>
        <v>6375</v>
      </c>
      <c r="H51" s="75" t="n">
        <f aca="false">-H28/H58</f>
        <v>6375</v>
      </c>
      <c r="I51" s="75" t="n">
        <f aca="false">-I28/I58</f>
        <v>6375</v>
      </c>
      <c r="J51" s="75" t="n">
        <f aca="false">-J28/J58</f>
        <v>6375</v>
      </c>
    </row>
    <row r="52" customFormat="false" ht="12.75" hidden="false" customHeight="false" outlineLevel="0" collapsed="false">
      <c r="B52" s="61" t="s">
        <v>365</v>
      </c>
      <c r="E52" s="75" t="n">
        <f aca="false">-E28*E59/$I$5</f>
        <v>8383.56164383562</v>
      </c>
      <c r="F52" s="75" t="n">
        <f aca="false">-F28*F59/$I$5</f>
        <v>8383.56164383562</v>
      </c>
      <c r="G52" s="75" t="n">
        <f aca="false">-G28*G59/$I$5</f>
        <v>8383.56164383562</v>
      </c>
      <c r="H52" s="75" t="n">
        <f aca="false">-H28*H59/$I$5</f>
        <v>8383.56164383562</v>
      </c>
      <c r="I52" s="75" t="n">
        <f aca="false">-I28*I59/$I$5</f>
        <v>8383.56164383562</v>
      </c>
      <c r="J52" s="75" t="n">
        <f aca="false">-J28*J59/$I$5</f>
        <v>8383.56164383562</v>
      </c>
    </row>
    <row r="53" customFormat="false" ht="12.75" hidden="false" customHeight="false" outlineLevel="0" collapsed="false">
      <c r="B53" s="81" t="s">
        <v>366</v>
      </c>
      <c r="C53" s="81"/>
      <c r="D53" s="81"/>
      <c r="E53" s="82" t="n">
        <f aca="false">+E50+E51-E52</f>
        <v>1279.1095890411</v>
      </c>
      <c r="F53" s="82" t="n">
        <f aca="false">+F50+F51-F52</f>
        <v>1279.1095890411</v>
      </c>
      <c r="G53" s="82" t="n">
        <f aca="false">+G50+G51-G52</f>
        <v>1279.1095890411</v>
      </c>
      <c r="H53" s="82" t="n">
        <f aca="false">+H50+H51-H52</f>
        <v>1279.1095890411</v>
      </c>
      <c r="I53" s="82" t="n">
        <f aca="false">+I50+I51-I52</f>
        <v>1279.1095890411</v>
      </c>
      <c r="J53" s="82" t="n">
        <f aca="false">+J50+J51-J52</f>
        <v>1279.1095890411</v>
      </c>
    </row>
    <row r="54" customFormat="false" ht="12.75" hidden="false" customHeight="false" outlineLevel="0" collapsed="false">
      <c r="B54" s="61" t="s">
        <v>367</v>
      </c>
      <c r="E54" s="75"/>
      <c r="F54" s="75" t="n">
        <f aca="false">+F53-E53</f>
        <v>0</v>
      </c>
      <c r="G54" s="75" t="n">
        <f aca="false">+G53-F53</f>
        <v>0</v>
      </c>
      <c r="H54" s="75" t="n">
        <f aca="false">+H53-G53</f>
        <v>0</v>
      </c>
      <c r="I54" s="75" t="n">
        <f aca="false">+I53-H53</f>
        <v>0</v>
      </c>
      <c r="J54" s="75" t="n">
        <f aca="false">+J53-I53</f>
        <v>0</v>
      </c>
    </row>
    <row r="56" customFormat="false" ht="12.75" hidden="false" customHeight="false" outlineLevel="0" collapsed="false">
      <c r="B56" s="93" t="s">
        <v>368</v>
      </c>
    </row>
    <row r="57" customFormat="false" ht="12.75" hidden="false" customHeight="false" outlineLevel="0" collapsed="false">
      <c r="B57" s="61" t="s">
        <v>363</v>
      </c>
      <c r="E57" s="94" t="n">
        <v>20</v>
      </c>
      <c r="F57" s="95" t="n">
        <f aca="false">+E57</f>
        <v>20</v>
      </c>
      <c r="G57" s="95" t="n">
        <f aca="false">+F57</f>
        <v>20</v>
      </c>
      <c r="H57" s="95" t="n">
        <f aca="false">+G57</f>
        <v>20</v>
      </c>
      <c r="I57" s="95" t="n">
        <f aca="false">+H57</f>
        <v>20</v>
      </c>
      <c r="J57" s="95" t="n">
        <f aca="false">+I57</f>
        <v>20</v>
      </c>
    </row>
    <row r="58" customFormat="false" ht="12.75" hidden="false" customHeight="false" outlineLevel="0" collapsed="false">
      <c r="B58" s="61" t="s">
        <v>364</v>
      </c>
      <c r="E58" s="64" t="n">
        <v>8</v>
      </c>
      <c r="F58" s="96" t="n">
        <f aca="false">+E58</f>
        <v>8</v>
      </c>
      <c r="G58" s="96" t="n">
        <f aca="false">+F58</f>
        <v>8</v>
      </c>
      <c r="H58" s="96" t="n">
        <f aca="false">+G58</f>
        <v>8</v>
      </c>
      <c r="I58" s="96" t="n">
        <f aca="false">+H58</f>
        <v>8</v>
      </c>
      <c r="J58" s="96" t="n">
        <f aca="false">+I58</f>
        <v>8</v>
      </c>
    </row>
    <row r="59" customFormat="false" ht="12.75" hidden="false" customHeight="false" outlineLevel="0" collapsed="false">
      <c r="B59" s="61" t="s">
        <v>365</v>
      </c>
      <c r="E59" s="94" t="n">
        <v>60</v>
      </c>
      <c r="F59" s="95" t="n">
        <f aca="false">+E59</f>
        <v>60</v>
      </c>
      <c r="G59" s="95" t="n">
        <f aca="false">+F59</f>
        <v>60</v>
      </c>
      <c r="H59" s="95" t="n">
        <f aca="false">+G59</f>
        <v>60</v>
      </c>
      <c r="I59" s="95" t="n">
        <f aca="false">+H59</f>
        <v>60</v>
      </c>
      <c r="J59" s="95" t="n">
        <f aca="false">+I59</f>
        <v>60</v>
      </c>
    </row>
    <row r="61" customFormat="false" ht="12.75" hidden="false" customHeight="false" outlineLevel="0" collapsed="false">
      <c r="A61" s="61" t="s">
        <v>348</v>
      </c>
      <c r="B61" s="85" t="s">
        <v>369</v>
      </c>
      <c r="C61" s="85"/>
      <c r="D61" s="85"/>
      <c r="E61" s="85" t="n">
        <v>2013</v>
      </c>
      <c r="F61" s="85" t="n">
        <f aca="false">E61+1</f>
        <v>2014</v>
      </c>
      <c r="G61" s="85" t="n">
        <f aca="false">F61+1</f>
        <v>2015</v>
      </c>
      <c r="H61" s="85" t="n">
        <f aca="false">G61+1</f>
        <v>2016</v>
      </c>
      <c r="I61" s="85" t="n">
        <f aca="false">H61+1</f>
        <v>2017</v>
      </c>
      <c r="J61" s="85" t="n">
        <f aca="false">I61+1</f>
        <v>2018</v>
      </c>
    </row>
    <row r="62" customFormat="false" ht="12.75" hidden="false" customHeight="false" outlineLevel="0" collapsed="false">
      <c r="B62" s="61" t="s">
        <v>370</v>
      </c>
      <c r="E62" s="97" t="n">
        <v>0</v>
      </c>
      <c r="F62" s="76" t="n">
        <f aca="false">+E62+F92</f>
        <v>2000</v>
      </c>
      <c r="G62" s="76" t="n">
        <f aca="false">+F62+G92</f>
        <v>2000</v>
      </c>
      <c r="H62" s="76" t="n">
        <f aca="false">+G62+H92</f>
        <v>2000</v>
      </c>
      <c r="I62" s="76" t="n">
        <f aca="false">+H62+I92</f>
        <v>2000</v>
      </c>
      <c r="J62" s="76" t="n">
        <f aca="false">+I62+J92</f>
        <v>2000</v>
      </c>
    </row>
    <row r="63" customFormat="false" ht="12.75" hidden="false" customHeight="false" outlineLevel="0" collapsed="false">
      <c r="E63" s="97"/>
      <c r="F63" s="76"/>
      <c r="G63" s="76"/>
      <c r="H63" s="76"/>
      <c r="I63" s="76"/>
      <c r="J63" s="76"/>
    </row>
    <row r="64" customFormat="false" ht="12.75" hidden="false" customHeight="false" outlineLevel="0" collapsed="false">
      <c r="B64" s="61" t="s">
        <v>371</v>
      </c>
      <c r="E64" s="97" t="n">
        <v>0</v>
      </c>
      <c r="F64" s="76" t="n">
        <f aca="false">+F111</f>
        <v>2620.693625</v>
      </c>
      <c r="G64" s="76" t="n">
        <f aca="false">+G111</f>
        <v>2926.1035336875</v>
      </c>
      <c r="H64" s="76" t="n">
        <f aca="false">+H111</f>
        <v>2849.88431697028</v>
      </c>
      <c r="I64" s="76" t="n">
        <f aca="false">+I111</f>
        <v>2569.67184964243</v>
      </c>
      <c r="J64" s="76" t="n">
        <f aca="false">+J111</f>
        <v>2271.18443880116</v>
      </c>
    </row>
    <row r="65" customFormat="false" ht="12.75" hidden="false" customHeight="false" outlineLevel="0" collapsed="false">
      <c r="B65" s="61" t="s">
        <v>335</v>
      </c>
      <c r="E65" s="76" t="n">
        <f aca="false">+E11</f>
        <v>10000.5</v>
      </c>
      <c r="F65" s="76" t="n">
        <f aca="false">+F121</f>
        <v>9900.495</v>
      </c>
      <c r="G65" s="76" t="n">
        <f aca="false">+G121</f>
        <v>9800.49</v>
      </c>
      <c r="H65" s="76" t="n">
        <f aca="false">+H121</f>
        <v>9700.485</v>
      </c>
      <c r="I65" s="76" t="n">
        <f aca="false">+I121</f>
        <v>9600.48</v>
      </c>
      <c r="J65" s="76" t="n">
        <f aca="false">+J121</f>
        <v>9500.475</v>
      </c>
    </row>
    <row r="66" customFormat="false" ht="12.75" hidden="false" customHeight="false" outlineLevel="0" collapsed="false">
      <c r="B66" s="61" t="s">
        <v>337</v>
      </c>
      <c r="E66" s="76" t="n">
        <f aca="false">+E12</f>
        <v>1999.5</v>
      </c>
      <c r="F66" s="76" t="n">
        <f aca="false">+F132</f>
        <v>1999.5</v>
      </c>
      <c r="G66" s="76" t="n">
        <f aca="false">+G132</f>
        <v>1999.5</v>
      </c>
      <c r="H66" s="76" t="n">
        <f aca="false">+H132</f>
        <v>1999.5</v>
      </c>
      <c r="I66" s="76" t="n">
        <f aca="false">+I132</f>
        <v>1999.5</v>
      </c>
      <c r="J66" s="76" t="n">
        <f aca="false">+J132</f>
        <v>1999.5</v>
      </c>
    </row>
    <row r="67" customFormat="false" ht="12.75" hidden="false" customHeight="false" outlineLevel="0" collapsed="false">
      <c r="B67" s="81" t="s">
        <v>372</v>
      </c>
      <c r="C67" s="81"/>
      <c r="D67" s="81"/>
      <c r="E67" s="82" t="n">
        <f aca="false">SUM(E64:E66)</f>
        <v>12000</v>
      </c>
      <c r="F67" s="82" t="n">
        <f aca="false">SUM(F64:F66)</f>
        <v>14520.688625</v>
      </c>
      <c r="G67" s="82" t="n">
        <f aca="false">SUM(G64:G66)</f>
        <v>14726.0935336875</v>
      </c>
      <c r="H67" s="82" t="n">
        <f aca="false">SUM(H64:H66)</f>
        <v>14549.8693169703</v>
      </c>
      <c r="I67" s="82" t="n">
        <f aca="false">SUM(I64:I66)</f>
        <v>14169.6518496424</v>
      </c>
      <c r="J67" s="82" t="n">
        <f aca="false">SUM(J64:J66)</f>
        <v>13771.1594388012</v>
      </c>
    </row>
    <row r="68" customFormat="false" ht="12.75" hidden="false" customHeight="false" outlineLevel="0" collapsed="false">
      <c r="B68" s="61" t="s">
        <v>28</v>
      </c>
      <c r="E68" s="76" t="n">
        <f aca="false">SUM(E13:E14)-J12</f>
        <v>6990</v>
      </c>
      <c r="F68" s="76" t="n">
        <f aca="false">+E68+F40</f>
        <v>5659.60066071429</v>
      </c>
      <c r="G68" s="76" t="n">
        <f aca="false">+F68+G40</f>
        <v>4644.48503774107</v>
      </c>
      <c r="H68" s="76" t="n">
        <f aca="false">+G68+H40</f>
        <v>4010.99854017258</v>
      </c>
      <c r="I68" s="76" t="n">
        <f aca="false">+H68+I40</f>
        <v>3581.50529321471</v>
      </c>
      <c r="J68" s="76" t="n">
        <f aca="false">+I68+J40</f>
        <v>3170.28698977027</v>
      </c>
    </row>
    <row r="69" customFormat="false" ht="12.75" hidden="false" customHeight="false" outlineLevel="0" collapsed="false">
      <c r="B69" s="81" t="s">
        <v>373</v>
      </c>
      <c r="C69" s="81"/>
      <c r="D69" s="81"/>
      <c r="E69" s="82" t="n">
        <f aca="false">SUM(E67:E68)</f>
        <v>18990</v>
      </c>
      <c r="F69" s="82" t="n">
        <f aca="false">SUM(F67:F68)</f>
        <v>20180.2892857143</v>
      </c>
      <c r="G69" s="82" t="n">
        <f aca="false">SUM(G67:G68)</f>
        <v>19370.5785714286</v>
      </c>
      <c r="H69" s="82" t="n">
        <f aca="false">SUM(H67:H68)</f>
        <v>18560.8678571429</v>
      </c>
      <c r="I69" s="82" t="n">
        <f aca="false">SUM(I67:I68)</f>
        <v>17751.1571428571</v>
      </c>
      <c r="J69" s="82" t="n">
        <f aca="false">SUM(J67:J68)</f>
        <v>16941.4464285714</v>
      </c>
    </row>
    <row r="71" customFormat="false" ht="12.75" hidden="false" customHeight="false" outlineLevel="0" collapsed="false">
      <c r="B71" s="61" t="s">
        <v>374</v>
      </c>
      <c r="E71" s="98" t="n">
        <f aca="false">+E65/$E$31</f>
        <v>6.667</v>
      </c>
      <c r="F71" s="98" t="n">
        <f aca="false">+F65/$E$31</f>
        <v>6.60033</v>
      </c>
      <c r="G71" s="98" t="n">
        <f aca="false">+G65/$E$31</f>
        <v>6.53366</v>
      </c>
      <c r="H71" s="98" t="n">
        <f aca="false">+H65/$E$31</f>
        <v>6.46699</v>
      </c>
      <c r="I71" s="98" t="n">
        <f aca="false">+I65/$E$31</f>
        <v>6.40032</v>
      </c>
      <c r="J71" s="98" t="n">
        <f aca="false">+J65/$E$31</f>
        <v>6.33365</v>
      </c>
    </row>
    <row r="72" customFormat="false" ht="12.75" hidden="false" customHeight="false" outlineLevel="0" collapsed="false">
      <c r="B72" s="61" t="s">
        <v>375</v>
      </c>
      <c r="E72" s="98" t="n">
        <f aca="false">+E66/$E$31</f>
        <v>1.333</v>
      </c>
      <c r="F72" s="98" t="n">
        <f aca="false">+F66/$E$31</f>
        <v>1.333</v>
      </c>
      <c r="G72" s="98" t="n">
        <f aca="false">+G66/$E$31</f>
        <v>1.333</v>
      </c>
      <c r="H72" s="98" t="n">
        <f aca="false">+H66/$E$31</f>
        <v>1.333</v>
      </c>
      <c r="I72" s="98" t="n">
        <f aca="false">+I66/$E$31</f>
        <v>1.333</v>
      </c>
      <c r="J72" s="98" t="n">
        <f aca="false">+J66/$E$31</f>
        <v>1.333</v>
      </c>
    </row>
    <row r="73" customFormat="false" ht="12.75" hidden="false" customHeight="false" outlineLevel="0" collapsed="false">
      <c r="B73" s="61" t="s">
        <v>376</v>
      </c>
      <c r="E73" s="98" t="n">
        <f aca="false">+E67/$E$31</f>
        <v>8</v>
      </c>
      <c r="F73" s="98" t="n">
        <f aca="false">+F67/$E$31</f>
        <v>9.68045908333333</v>
      </c>
      <c r="G73" s="98" t="n">
        <f aca="false">+G67/$E$31</f>
        <v>9.817395689125</v>
      </c>
      <c r="H73" s="98" t="n">
        <f aca="false">+H67/$E$31</f>
        <v>9.69991287798019</v>
      </c>
      <c r="I73" s="98" t="n">
        <f aca="false">+I67/$E$31</f>
        <v>9.44643456642829</v>
      </c>
      <c r="J73" s="98" t="n">
        <f aca="false">+J67/$E$31</f>
        <v>9.18077295920078</v>
      </c>
    </row>
    <row r="74" customFormat="false" ht="12.75" hidden="false" customHeight="false" outlineLevel="0" collapsed="false">
      <c r="B74" s="61" t="s">
        <v>377</v>
      </c>
      <c r="E74" s="99" t="n">
        <f aca="false">+E67/E69</f>
        <v>0.631911532385466</v>
      </c>
      <c r="F74" s="99" t="n">
        <f aca="false">+F67/F69</f>
        <v>0.719548090684669</v>
      </c>
      <c r="G74" s="99" t="n">
        <f aca="false">+G67/G69</f>
        <v>0.760229927019751</v>
      </c>
      <c r="H74" s="99" t="n">
        <f aca="false">+H67/H69</f>
        <v>0.783900269586316</v>
      </c>
      <c r="I74" s="99" t="n">
        <f aca="false">+I67/I69</f>
        <v>0.79823820698608</v>
      </c>
      <c r="J74" s="99" t="n">
        <f aca="false">+J67/J69</f>
        <v>0.812867986028416</v>
      </c>
    </row>
    <row r="76" customFormat="false" ht="12.75" hidden="false" customHeight="false" outlineLevel="0" collapsed="false">
      <c r="A76" s="61" t="s">
        <v>348</v>
      </c>
      <c r="B76" s="85" t="s">
        <v>378</v>
      </c>
      <c r="C76" s="85"/>
      <c r="D76" s="85"/>
      <c r="E76" s="85" t="n">
        <v>2013</v>
      </c>
      <c r="F76" s="85" t="n">
        <f aca="false">E76+1</f>
        <v>2014</v>
      </c>
      <c r="G76" s="85" t="n">
        <f aca="false">F76+1</f>
        <v>2015</v>
      </c>
      <c r="H76" s="85" t="n">
        <f aca="false">G76+1</f>
        <v>2016</v>
      </c>
      <c r="I76" s="85" t="n">
        <f aca="false">H76+1</f>
        <v>2017</v>
      </c>
      <c r="J76" s="85" t="n">
        <f aca="false">I76+1</f>
        <v>2018</v>
      </c>
    </row>
    <row r="77" customFormat="false" ht="12.75" hidden="false" customHeight="false" outlineLevel="0" collapsed="false">
      <c r="B77" s="61" t="s">
        <v>141</v>
      </c>
      <c r="F77" s="75" t="n">
        <f aca="false">+F40</f>
        <v>-1330.39933928571</v>
      </c>
      <c r="G77" s="75" t="n">
        <f aca="false">+G40</f>
        <v>-1015.11562297321</v>
      </c>
      <c r="H77" s="75" t="n">
        <f aca="false">+H40</f>
        <v>-633.486497568496</v>
      </c>
      <c r="I77" s="75" t="n">
        <f aca="false">+I40</f>
        <v>-429.493246957862</v>
      </c>
      <c r="J77" s="75" t="n">
        <f aca="false">+J40</f>
        <v>-411.218303444445</v>
      </c>
    </row>
    <row r="78" customFormat="false" ht="12.75" hidden="false" customHeight="false" outlineLevel="0" collapsed="false">
      <c r="B78" s="61" t="s">
        <v>142</v>
      </c>
      <c r="F78" s="75" t="n">
        <f aca="false">+-F33</f>
        <v>3022.5</v>
      </c>
      <c r="G78" s="75" t="n">
        <f aca="false">+-G33</f>
        <v>3022.5</v>
      </c>
      <c r="H78" s="75" t="n">
        <f aca="false">+-H33</f>
        <v>3022.5</v>
      </c>
      <c r="I78" s="75" t="n">
        <f aca="false">+-I33</f>
        <v>3022.5</v>
      </c>
      <c r="J78" s="75" t="n">
        <f aca="false">+-J33</f>
        <v>3022.5</v>
      </c>
    </row>
    <row r="79" customFormat="false" ht="12.75" hidden="false" customHeight="false" outlineLevel="0" collapsed="false">
      <c r="B79" s="61" t="s">
        <v>379</v>
      </c>
      <c r="F79" s="75" t="n">
        <f aca="false">+F43</f>
        <v>-70.875</v>
      </c>
      <c r="G79" s="75" t="n">
        <f aca="false">+G43</f>
        <v>-70.875</v>
      </c>
      <c r="H79" s="75" t="n">
        <f aca="false">+H43</f>
        <v>-70.875</v>
      </c>
      <c r="I79" s="75" t="n">
        <f aca="false">+I43</f>
        <v>-70.875</v>
      </c>
      <c r="J79" s="75" t="n">
        <f aca="false">+J43</f>
        <v>-70.875</v>
      </c>
    </row>
    <row r="80" customFormat="false" ht="12.75" hidden="false" customHeight="false" outlineLevel="0" collapsed="false">
      <c r="B80" s="61" t="s">
        <v>380</v>
      </c>
      <c r="F80" s="75" t="n">
        <f aca="false">-+F139</f>
        <v>0</v>
      </c>
      <c r="G80" s="75" t="n">
        <f aca="false">-+G139</f>
        <v>0</v>
      </c>
      <c r="H80" s="75" t="n">
        <f aca="false">-+H139</f>
        <v>0</v>
      </c>
      <c r="I80" s="75" t="n">
        <f aca="false">-+I139</f>
        <v>0</v>
      </c>
      <c r="J80" s="75" t="n">
        <f aca="false">-+J139</f>
        <v>0</v>
      </c>
    </row>
    <row r="81" customFormat="false" ht="12.75" hidden="false" customHeight="false" outlineLevel="0" collapsed="false">
      <c r="B81" s="61" t="s">
        <v>381</v>
      </c>
      <c r="F81" s="75" t="n">
        <f aca="false">+-F37</f>
        <v>34.2857142857143</v>
      </c>
      <c r="G81" s="75" t="n">
        <f aca="false">+-G37</f>
        <v>34.2857142857143</v>
      </c>
      <c r="H81" s="75" t="n">
        <f aca="false">+-H37</f>
        <v>34.2857142857143</v>
      </c>
      <c r="I81" s="75" t="n">
        <f aca="false">+-I37</f>
        <v>34.2857142857143</v>
      </c>
      <c r="J81" s="75" t="n">
        <f aca="false">+-J37</f>
        <v>34.2857142857143</v>
      </c>
    </row>
    <row r="82" customFormat="false" ht="12.75" hidden="false" customHeight="false" outlineLevel="0" collapsed="false">
      <c r="B82" s="61" t="s">
        <v>382</v>
      </c>
      <c r="F82" s="75" t="n">
        <f aca="false">+-F54</f>
        <v>-0</v>
      </c>
      <c r="G82" s="75" t="n">
        <f aca="false">+-G54</f>
        <v>-0</v>
      </c>
      <c r="H82" s="75" t="n">
        <f aca="false">+-H54</f>
        <v>-0</v>
      </c>
      <c r="I82" s="75" t="n">
        <f aca="false">+-I54</f>
        <v>-0</v>
      </c>
      <c r="J82" s="75" t="n">
        <f aca="false">+-J54</f>
        <v>-0</v>
      </c>
    </row>
    <row r="83" customFormat="false" ht="12.75" hidden="false" customHeight="false" outlineLevel="0" collapsed="false">
      <c r="B83" s="81" t="s">
        <v>383</v>
      </c>
      <c r="C83" s="81"/>
      <c r="D83" s="81"/>
      <c r="E83" s="81"/>
      <c r="F83" s="82" t="n">
        <f aca="false">SUM(F77:F82)</f>
        <v>1655.511375</v>
      </c>
      <c r="G83" s="82" t="n">
        <f aca="false">SUM(G77:G82)</f>
        <v>1970.7950913125</v>
      </c>
      <c r="H83" s="82" t="n">
        <f aca="false">SUM(H77:H82)</f>
        <v>2352.42421671722</v>
      </c>
      <c r="I83" s="82" t="n">
        <f aca="false">SUM(I77:I82)</f>
        <v>2556.41746732785</v>
      </c>
      <c r="J83" s="82" t="n">
        <f aca="false">SUM(J77:J82)</f>
        <v>2574.69241084127</v>
      </c>
    </row>
    <row r="84" customFormat="false" ht="12.75" hidden="false" customHeight="false" outlineLevel="0" collapsed="false">
      <c r="F84" s="75"/>
      <c r="G84" s="75"/>
      <c r="H84" s="75"/>
      <c r="I84" s="75"/>
      <c r="J84" s="75"/>
    </row>
    <row r="85" customFormat="false" ht="12.75" hidden="false" customHeight="false" outlineLevel="0" collapsed="false">
      <c r="B85" s="61" t="s">
        <v>359</v>
      </c>
      <c r="F85" s="75" t="n">
        <f aca="false">+-F44</f>
        <v>-2176.2</v>
      </c>
      <c r="G85" s="75" t="n">
        <f aca="false">+-G44</f>
        <v>-2176.2</v>
      </c>
      <c r="H85" s="75" t="n">
        <f aca="false">+-H44</f>
        <v>-2176.2</v>
      </c>
      <c r="I85" s="75" t="n">
        <f aca="false">+-I44</f>
        <v>-2176.2</v>
      </c>
      <c r="J85" s="75" t="n">
        <f aca="false">+-J44</f>
        <v>-2176.2</v>
      </c>
    </row>
    <row r="86" customFormat="false" ht="12.75" hidden="false" customHeight="false" outlineLevel="0" collapsed="false">
      <c r="B86" s="81" t="s">
        <v>384</v>
      </c>
      <c r="C86" s="81"/>
      <c r="D86" s="81"/>
      <c r="E86" s="81"/>
      <c r="F86" s="82" t="n">
        <f aca="false">SUM(F85)</f>
        <v>-2176.2</v>
      </c>
      <c r="G86" s="82" t="n">
        <f aca="false">SUM(G85)</f>
        <v>-2176.2</v>
      </c>
      <c r="H86" s="82" t="n">
        <f aca="false">SUM(H85)</f>
        <v>-2176.2</v>
      </c>
      <c r="I86" s="82" t="n">
        <f aca="false">SUM(I85)</f>
        <v>-2176.2</v>
      </c>
      <c r="J86" s="82" t="n">
        <f aca="false">SUM(J85)</f>
        <v>-2176.2</v>
      </c>
    </row>
    <row r="87" customFormat="false" ht="12.75" hidden="false" customHeight="false" outlineLevel="0" collapsed="false">
      <c r="F87" s="75"/>
      <c r="G87" s="75"/>
      <c r="H87" s="75"/>
      <c r="I87" s="75"/>
      <c r="J87" s="75"/>
    </row>
    <row r="88" customFormat="false" ht="12.75" hidden="false" customHeight="false" outlineLevel="0" collapsed="false">
      <c r="B88" s="61" t="s">
        <v>385</v>
      </c>
      <c r="F88" s="75" t="n">
        <f aca="false">+F119</f>
        <v>-100.005</v>
      </c>
      <c r="G88" s="75" t="n">
        <f aca="false">+G119</f>
        <v>-100.005</v>
      </c>
      <c r="H88" s="75" t="n">
        <f aca="false">+H119</f>
        <v>-100.005</v>
      </c>
      <c r="I88" s="75" t="n">
        <f aca="false">+I119</f>
        <v>-100.005</v>
      </c>
      <c r="J88" s="75" t="n">
        <f aca="false">+J119</f>
        <v>-100.005</v>
      </c>
    </row>
    <row r="89" customFormat="false" ht="12.75" hidden="false" customHeight="false" outlineLevel="0" collapsed="false">
      <c r="B89" s="61" t="s">
        <v>386</v>
      </c>
      <c r="F89" s="75" t="n">
        <f aca="false">+SUM(F100,F102,F104)</f>
        <v>2620.693625</v>
      </c>
      <c r="G89" s="75" t="n">
        <f aca="false">+SUM(G100,G102,G104)</f>
        <v>305.4099086875</v>
      </c>
      <c r="H89" s="75" t="n">
        <f aca="false">+SUM(H100,H102,H104)</f>
        <v>-76.2192167172185</v>
      </c>
      <c r="I89" s="75" t="n">
        <f aca="false">+SUM(I100,I102,I104)</f>
        <v>-280.212467327852</v>
      </c>
      <c r="J89" s="75" t="n">
        <f aca="false">+SUM(J100,J102,J104)</f>
        <v>-298.487410841269</v>
      </c>
    </row>
    <row r="90" customFormat="false" ht="12.75" hidden="false" customHeight="false" outlineLevel="0" collapsed="false">
      <c r="B90" s="81" t="s">
        <v>387</v>
      </c>
      <c r="C90" s="81"/>
      <c r="D90" s="81"/>
      <c r="E90" s="81"/>
      <c r="F90" s="82" t="n">
        <f aca="false">SUM(F88:F89)</f>
        <v>2520.688625</v>
      </c>
      <c r="G90" s="82" t="n">
        <f aca="false">SUM(G88:G89)</f>
        <v>205.4049086875</v>
      </c>
      <c r="H90" s="82" t="n">
        <f aca="false">SUM(H88:H89)</f>
        <v>-176.224216717219</v>
      </c>
      <c r="I90" s="82" t="n">
        <f aca="false">SUM(I88:I89)</f>
        <v>-380.217467327852</v>
      </c>
      <c r="J90" s="82" t="n">
        <f aca="false">SUM(J88:J89)</f>
        <v>-398.492410841269</v>
      </c>
    </row>
    <row r="91" customFormat="false" ht="12.75" hidden="false" customHeight="false" outlineLevel="0" collapsed="false">
      <c r="F91" s="75"/>
      <c r="G91" s="75"/>
      <c r="H91" s="75"/>
      <c r="I91" s="75"/>
      <c r="J91" s="75"/>
    </row>
    <row r="92" customFormat="false" ht="12.75" hidden="false" customHeight="false" outlineLevel="0" collapsed="false">
      <c r="B92" s="61" t="s">
        <v>388</v>
      </c>
      <c r="F92" s="75" t="n">
        <f aca="false">+SUM(F83,F86,F90)</f>
        <v>2000</v>
      </c>
      <c r="G92" s="75" t="n">
        <f aca="false">+SUM(G83,G86,G90)</f>
        <v>0</v>
      </c>
      <c r="H92" s="75" t="n">
        <f aca="false">+SUM(H83,H86,H90)</f>
        <v>0</v>
      </c>
      <c r="I92" s="75" t="n">
        <f aca="false">+SUM(I83,I86,I90)</f>
        <v>0</v>
      </c>
      <c r="J92" s="75" t="n">
        <f aca="false">+SUM(J83,J86,J90)</f>
        <v>0</v>
      </c>
    </row>
    <row r="94" customFormat="false" ht="12.75" hidden="false" customHeight="false" outlineLevel="0" collapsed="false">
      <c r="A94" s="61" t="s">
        <v>348</v>
      </c>
      <c r="B94" s="85" t="s">
        <v>389</v>
      </c>
      <c r="C94" s="85"/>
      <c r="D94" s="85"/>
      <c r="E94" s="85" t="n">
        <v>2013</v>
      </c>
      <c r="F94" s="85" t="n">
        <f aca="false">E94+1</f>
        <v>2014</v>
      </c>
      <c r="G94" s="85" t="n">
        <f aca="false">F94+1</f>
        <v>2015</v>
      </c>
      <c r="H94" s="85" t="n">
        <f aca="false">G94+1</f>
        <v>2016</v>
      </c>
      <c r="I94" s="85" t="n">
        <f aca="false">H94+1</f>
        <v>2017</v>
      </c>
      <c r="J94" s="85" t="n">
        <f aca="false">I94+1</f>
        <v>2018</v>
      </c>
    </row>
    <row r="95" customFormat="false" ht="12.75" hidden="false" customHeight="false" outlineLevel="0" collapsed="false">
      <c r="B95" s="61" t="s">
        <v>390</v>
      </c>
      <c r="E95" s="75"/>
      <c r="F95" s="75" t="n">
        <f aca="false">+E62</f>
        <v>0</v>
      </c>
      <c r="G95" s="75" t="n">
        <f aca="false">+F62</f>
        <v>2000</v>
      </c>
      <c r="H95" s="75" t="n">
        <f aca="false">+G62</f>
        <v>2000</v>
      </c>
      <c r="I95" s="75" t="n">
        <f aca="false">+H62</f>
        <v>2000</v>
      </c>
      <c r="J95" s="75" t="n">
        <f aca="false">+I62</f>
        <v>2000</v>
      </c>
    </row>
    <row r="96" customFormat="false" ht="12.75" hidden="false" customHeight="false" outlineLevel="0" collapsed="false">
      <c r="B96" s="61" t="s">
        <v>391</v>
      </c>
      <c r="E96" s="75"/>
      <c r="F96" s="97" t="n">
        <v>-2000</v>
      </c>
      <c r="G96" s="97" t="n">
        <v>-2000</v>
      </c>
      <c r="H96" s="97" t="n">
        <v>-2000</v>
      </c>
      <c r="I96" s="97" t="n">
        <v>-2000</v>
      </c>
      <c r="J96" s="97" t="n">
        <v>-2000</v>
      </c>
    </row>
    <row r="97" customFormat="false" ht="12.75" hidden="false" customHeight="false" outlineLevel="0" collapsed="false">
      <c r="B97" s="61" t="s">
        <v>392</v>
      </c>
      <c r="E97" s="75"/>
      <c r="F97" s="75" t="n">
        <f aca="false">+F83+F86</f>
        <v>-520.688625</v>
      </c>
      <c r="G97" s="75" t="n">
        <f aca="false">+G83+G86</f>
        <v>-205.4049086875</v>
      </c>
      <c r="H97" s="75" t="n">
        <f aca="false">+H83+H86</f>
        <v>176.224216717219</v>
      </c>
      <c r="I97" s="75" t="n">
        <f aca="false">+I83+I86</f>
        <v>380.217467327852</v>
      </c>
      <c r="J97" s="75" t="n">
        <f aca="false">+J83+J86</f>
        <v>398.492410841269</v>
      </c>
    </row>
    <row r="98" customFormat="false" ht="12.75" hidden="false" customHeight="false" outlineLevel="0" collapsed="false">
      <c r="B98" s="61" t="s">
        <v>393</v>
      </c>
      <c r="E98" s="75"/>
      <c r="F98" s="75" t="n">
        <f aca="false">+F88</f>
        <v>-100.005</v>
      </c>
      <c r="G98" s="75" t="n">
        <f aca="false">+G88</f>
        <v>-100.005</v>
      </c>
      <c r="H98" s="75" t="n">
        <f aca="false">+H88</f>
        <v>-100.005</v>
      </c>
      <c r="I98" s="75" t="n">
        <f aca="false">+I88</f>
        <v>-100.005</v>
      </c>
      <c r="J98" s="75" t="n">
        <f aca="false">+J88</f>
        <v>-100.005</v>
      </c>
    </row>
    <row r="99" customFormat="false" ht="12.75" hidden="false" customHeight="false" outlineLevel="0" collapsed="false">
      <c r="B99" s="81" t="s">
        <v>394</v>
      </c>
      <c r="C99" s="81"/>
      <c r="D99" s="81"/>
      <c r="E99" s="82"/>
      <c r="F99" s="82" t="n">
        <f aca="false">SUM(F95:F98)</f>
        <v>-2620.693625</v>
      </c>
      <c r="G99" s="82" t="n">
        <f aca="false">SUM(G95:G98)</f>
        <v>-305.4099086875</v>
      </c>
      <c r="H99" s="82" t="n">
        <f aca="false">SUM(H95:H98)</f>
        <v>76.2192167172185</v>
      </c>
      <c r="I99" s="82" t="n">
        <f aca="false">SUM(I95:I98)</f>
        <v>280.212467327852</v>
      </c>
      <c r="J99" s="82" t="n">
        <f aca="false">SUM(J95:J98)</f>
        <v>298.487410841269</v>
      </c>
    </row>
    <row r="100" customFormat="false" ht="12.75" hidden="false" customHeight="false" outlineLevel="0" collapsed="false">
      <c r="B100" s="61" t="s">
        <v>395</v>
      </c>
      <c r="E100" s="75"/>
      <c r="F100" s="75" t="n">
        <f aca="false">+SUM(F109:F110)</f>
        <v>2620.693625</v>
      </c>
      <c r="G100" s="75" t="n">
        <f aca="false">+SUM(G109:G110)</f>
        <v>305.4099086875</v>
      </c>
      <c r="H100" s="75" t="n">
        <f aca="false">+SUM(H109:H110)</f>
        <v>-76.2192167172185</v>
      </c>
      <c r="I100" s="75" t="n">
        <f aca="false">+SUM(I109:I110)</f>
        <v>-280.212467327852</v>
      </c>
      <c r="J100" s="75" t="n">
        <f aca="false">+SUM(J109:J110)</f>
        <v>-298.487410841269</v>
      </c>
    </row>
    <row r="101" customFormat="false" ht="12.75" hidden="false" customHeight="false" outlineLevel="0" collapsed="false">
      <c r="B101" s="81" t="s">
        <v>396</v>
      </c>
      <c r="C101" s="81"/>
      <c r="D101" s="81"/>
      <c r="E101" s="82"/>
      <c r="F101" s="82" t="n">
        <f aca="false">SUM(F99:F100)</f>
        <v>0</v>
      </c>
      <c r="G101" s="82" t="n">
        <f aca="false">SUM(G99:G100)</f>
        <v>0</v>
      </c>
      <c r="H101" s="82" t="n">
        <f aca="false">SUM(H99:H100)</f>
        <v>0</v>
      </c>
      <c r="I101" s="82" t="n">
        <f aca="false">SUM(I99:I100)</f>
        <v>0</v>
      </c>
      <c r="J101" s="82" t="n">
        <f aca="false">SUM(J99:J100)</f>
        <v>0</v>
      </c>
    </row>
    <row r="102" customFormat="false" ht="12.75" hidden="false" customHeight="false" outlineLevel="0" collapsed="false">
      <c r="B102" s="61" t="s">
        <v>397</v>
      </c>
      <c r="E102" s="75"/>
      <c r="F102" s="75" t="n">
        <f aca="false">+F120</f>
        <v>-0</v>
      </c>
      <c r="G102" s="75" t="n">
        <f aca="false">+G120</f>
        <v>-0</v>
      </c>
      <c r="H102" s="75" t="n">
        <f aca="false">+H120</f>
        <v>-0</v>
      </c>
      <c r="I102" s="75" t="n">
        <f aca="false">+I120</f>
        <v>-0</v>
      </c>
      <c r="J102" s="75" t="n">
        <f aca="false">+J120</f>
        <v>-0</v>
      </c>
    </row>
    <row r="103" customFormat="false" ht="12.75" hidden="false" customHeight="false" outlineLevel="0" collapsed="false">
      <c r="B103" s="81" t="s">
        <v>398</v>
      </c>
      <c r="C103" s="81"/>
      <c r="D103" s="81"/>
      <c r="E103" s="82"/>
      <c r="F103" s="82" t="n">
        <f aca="false">SUM(F101:F102)</f>
        <v>0</v>
      </c>
      <c r="G103" s="82" t="n">
        <f aca="false">SUM(G101:G102)</f>
        <v>0</v>
      </c>
      <c r="H103" s="82" t="n">
        <f aca="false">SUM(H101:H102)</f>
        <v>0</v>
      </c>
      <c r="I103" s="82" t="n">
        <f aca="false">SUM(I101:I102)</f>
        <v>0</v>
      </c>
      <c r="J103" s="82" t="n">
        <f aca="false">SUM(J101:J102)</f>
        <v>0</v>
      </c>
    </row>
    <row r="104" customFormat="false" ht="12.75" hidden="false" customHeight="false" outlineLevel="0" collapsed="false">
      <c r="B104" s="61" t="s">
        <v>397</v>
      </c>
      <c r="E104" s="75"/>
      <c r="F104" s="75" t="n">
        <f aca="false">+F131</f>
        <v>0</v>
      </c>
      <c r="G104" s="75" t="n">
        <f aca="false">+G131</f>
        <v>0</v>
      </c>
      <c r="H104" s="75" t="n">
        <f aca="false">+H131</f>
        <v>0</v>
      </c>
      <c r="I104" s="75" t="n">
        <f aca="false">+I131</f>
        <v>0</v>
      </c>
      <c r="J104" s="75" t="n">
        <f aca="false">+J131</f>
        <v>0</v>
      </c>
    </row>
    <row r="105" customFormat="false" ht="12.75" hidden="false" customHeight="false" outlineLevel="0" collapsed="false">
      <c r="B105" s="81" t="s">
        <v>399</v>
      </c>
      <c r="C105" s="81"/>
      <c r="D105" s="81"/>
      <c r="E105" s="82"/>
      <c r="F105" s="82" t="n">
        <f aca="false">SUM(F103:F104)</f>
        <v>0</v>
      </c>
      <c r="G105" s="82" t="n">
        <f aca="false">SUM(G103:G104)</f>
        <v>0</v>
      </c>
      <c r="H105" s="82" t="n">
        <f aca="false">SUM(H103:H104)</f>
        <v>0</v>
      </c>
      <c r="I105" s="82" t="n">
        <f aca="false">SUM(I103:I104)</f>
        <v>0</v>
      </c>
      <c r="J105" s="82" t="n">
        <f aca="false">SUM(J103:J104)</f>
        <v>0</v>
      </c>
    </row>
    <row r="106" customFormat="false" ht="12.75" hidden="false" customHeight="false" outlineLevel="0" collapsed="false">
      <c r="E106" s="75"/>
      <c r="F106" s="75"/>
      <c r="G106" s="75"/>
      <c r="H106" s="75"/>
      <c r="I106" s="75"/>
      <c r="J106" s="75"/>
    </row>
    <row r="107" customFormat="false" ht="12.75" hidden="false" customHeight="false" outlineLevel="0" collapsed="false">
      <c r="B107" s="93" t="s">
        <v>371</v>
      </c>
      <c r="E107" s="75"/>
      <c r="F107" s="75"/>
      <c r="G107" s="75"/>
      <c r="H107" s="75"/>
      <c r="I107" s="75"/>
      <c r="J107" s="75"/>
    </row>
    <row r="108" customFormat="false" ht="12.75" hidden="false" customHeight="false" outlineLevel="0" collapsed="false">
      <c r="B108" s="61" t="s">
        <v>400</v>
      </c>
      <c r="E108" s="75"/>
      <c r="F108" s="75" t="n">
        <f aca="false">+E111</f>
        <v>0</v>
      </c>
      <c r="G108" s="75" t="n">
        <f aca="false">+F111</f>
        <v>2620.693625</v>
      </c>
      <c r="H108" s="75" t="n">
        <f aca="false">+G111</f>
        <v>2926.1035336875</v>
      </c>
      <c r="I108" s="75" t="n">
        <f aca="false">+H111</f>
        <v>2849.88431697028</v>
      </c>
      <c r="J108" s="75" t="n">
        <f aca="false">+I111</f>
        <v>2569.67184964243</v>
      </c>
    </row>
    <row r="109" customFormat="false" ht="12.75" hidden="false" customHeight="false" outlineLevel="0" collapsed="false">
      <c r="B109" s="61" t="s">
        <v>401</v>
      </c>
      <c r="E109" s="75"/>
      <c r="F109" s="75" t="n">
        <f aca="false">+-MIN(F99,0)</f>
        <v>2620.693625</v>
      </c>
      <c r="G109" s="75" t="n">
        <f aca="false">+-MIN(G99,0)</f>
        <v>305.4099086875</v>
      </c>
      <c r="H109" s="75" t="n">
        <f aca="false">+-MIN(H99,0)</f>
        <v>-0</v>
      </c>
      <c r="I109" s="75" t="n">
        <f aca="false">+-MIN(I99,0)</f>
        <v>-0</v>
      </c>
      <c r="J109" s="75" t="n">
        <f aca="false">+-MIN(J99,0)</f>
        <v>-0</v>
      </c>
    </row>
    <row r="110" customFormat="false" ht="12.75" hidden="false" customHeight="false" outlineLevel="0" collapsed="false">
      <c r="B110" s="61" t="s">
        <v>402</v>
      </c>
      <c r="E110" s="75"/>
      <c r="F110" s="75" t="n">
        <f aca="false">+IF(F108&gt;0,-MIN(F108,MAX(F99,0)),0)</f>
        <v>0</v>
      </c>
      <c r="G110" s="75" t="n">
        <f aca="false">+IF(G108&gt;0,-MIN(G108,MAX(G99,0)),0)</f>
        <v>-0</v>
      </c>
      <c r="H110" s="75" t="n">
        <f aca="false">+IF(H108&gt;0,-MIN(H108,MAX(H99,0)),0)</f>
        <v>-76.2192167172185</v>
      </c>
      <c r="I110" s="75" t="n">
        <f aca="false">+IF(I108&gt;0,-MIN(I108,MAX(I99,0)),0)</f>
        <v>-280.212467327852</v>
      </c>
      <c r="J110" s="75" t="n">
        <f aca="false">+IF(J108&gt;0,-MIN(J108,MAX(J99,0)),0)</f>
        <v>-298.487410841269</v>
      </c>
    </row>
    <row r="111" customFormat="false" ht="12.75" hidden="false" customHeight="false" outlineLevel="0" collapsed="false">
      <c r="B111" s="81" t="s">
        <v>403</v>
      </c>
      <c r="C111" s="81"/>
      <c r="D111" s="81"/>
      <c r="E111" s="100" t="n">
        <v>0</v>
      </c>
      <c r="F111" s="82" t="n">
        <f aca="false">SUM(F108:F110)</f>
        <v>2620.693625</v>
      </c>
      <c r="G111" s="82" t="n">
        <f aca="false">SUM(G108:G110)</f>
        <v>2926.1035336875</v>
      </c>
      <c r="H111" s="82" t="n">
        <f aca="false">SUM(H108:H110)</f>
        <v>2849.88431697028</v>
      </c>
      <c r="I111" s="82" t="n">
        <f aca="false">SUM(I108:I110)</f>
        <v>2569.67184964243</v>
      </c>
      <c r="J111" s="82" t="n">
        <f aca="false">SUM(J108:J110)</f>
        <v>2271.18443880116</v>
      </c>
    </row>
    <row r="112" customFormat="false" ht="12.75" hidden="false" customHeight="false" outlineLevel="0" collapsed="false">
      <c r="E112" s="75"/>
      <c r="F112" s="75"/>
      <c r="G112" s="75"/>
      <c r="H112" s="75"/>
      <c r="I112" s="75"/>
      <c r="J112" s="75"/>
    </row>
    <row r="113" customFormat="false" ht="12.75" hidden="false" customHeight="false" outlineLevel="0" collapsed="false">
      <c r="B113" s="61" t="s">
        <v>404</v>
      </c>
      <c r="E113" s="75"/>
      <c r="F113" s="75" t="n">
        <f aca="false">+E111</f>
        <v>0</v>
      </c>
      <c r="G113" s="75" t="n">
        <f aca="false">+F111</f>
        <v>2620.693625</v>
      </c>
      <c r="H113" s="75" t="n">
        <f aca="false">+G111</f>
        <v>2926.1035336875</v>
      </c>
      <c r="I113" s="75" t="n">
        <f aca="false">+H111</f>
        <v>2849.88431697028</v>
      </c>
      <c r="J113" s="75" t="n">
        <f aca="false">+I111</f>
        <v>2569.67184964243</v>
      </c>
    </row>
    <row r="114" customFormat="false" ht="12.75" hidden="false" customHeight="false" outlineLevel="0" collapsed="false">
      <c r="B114" s="61" t="s">
        <v>405</v>
      </c>
      <c r="F114" s="69" t="n">
        <v>0.07</v>
      </c>
      <c r="G114" s="92" t="n">
        <f aca="false">+F114</f>
        <v>0.07</v>
      </c>
      <c r="H114" s="92" t="n">
        <f aca="false">+G114</f>
        <v>0.07</v>
      </c>
      <c r="I114" s="92" t="n">
        <f aca="false">+H114</f>
        <v>0.07</v>
      </c>
      <c r="J114" s="92" t="n">
        <f aca="false">+I114</f>
        <v>0.07</v>
      </c>
    </row>
    <row r="115" customFormat="false" ht="12.75" hidden="false" customHeight="false" outlineLevel="0" collapsed="false">
      <c r="B115" s="61" t="s">
        <v>406</v>
      </c>
      <c r="E115" s="75"/>
      <c r="F115" s="75" t="n">
        <f aca="false">+-F113*F114</f>
        <v>-0</v>
      </c>
      <c r="G115" s="75" t="n">
        <f aca="false">+-G113*G114</f>
        <v>-183.44855375</v>
      </c>
      <c r="H115" s="75" t="n">
        <f aca="false">+-H113*H114</f>
        <v>-204.827247358125</v>
      </c>
      <c r="I115" s="75" t="n">
        <f aca="false">+-I113*I114</f>
        <v>-199.49190218792</v>
      </c>
      <c r="J115" s="75" t="n">
        <f aca="false">+-J113*J114</f>
        <v>-179.87702947497</v>
      </c>
    </row>
    <row r="116" customFormat="false" ht="12.75" hidden="false" customHeight="false" outlineLevel="0" collapsed="false">
      <c r="E116" s="75"/>
      <c r="F116" s="75"/>
      <c r="G116" s="75"/>
      <c r="H116" s="75"/>
      <c r="I116" s="75"/>
      <c r="J116" s="75"/>
    </row>
    <row r="117" customFormat="false" ht="12.75" hidden="false" customHeight="false" outlineLevel="0" collapsed="false">
      <c r="B117" s="93" t="s">
        <v>335</v>
      </c>
      <c r="E117" s="75"/>
      <c r="F117" s="75"/>
      <c r="G117" s="75"/>
      <c r="H117" s="75"/>
      <c r="I117" s="75"/>
      <c r="J117" s="75"/>
    </row>
    <row r="118" customFormat="false" ht="12.75" hidden="false" customHeight="false" outlineLevel="0" collapsed="false">
      <c r="B118" s="61" t="s">
        <v>400</v>
      </c>
      <c r="E118" s="75"/>
      <c r="F118" s="75" t="n">
        <f aca="false">+E121</f>
        <v>10000.5</v>
      </c>
      <c r="G118" s="75" t="n">
        <f aca="false">+F121</f>
        <v>9900.495</v>
      </c>
      <c r="H118" s="75" t="n">
        <f aca="false">+G121</f>
        <v>9800.49</v>
      </c>
      <c r="I118" s="75" t="n">
        <f aca="false">+H121</f>
        <v>9700.485</v>
      </c>
      <c r="J118" s="75" t="n">
        <f aca="false">+I121</f>
        <v>9600.48</v>
      </c>
    </row>
    <row r="119" customFormat="false" ht="12.75" hidden="false" customHeight="false" outlineLevel="0" collapsed="false">
      <c r="B119" s="61" t="s">
        <v>407</v>
      </c>
      <c r="E119" s="75"/>
      <c r="F119" s="101" t="n">
        <f aca="false">-IF($E$121+F118*F126&gt;0,$E$121*F126,0)</f>
        <v>-100.005</v>
      </c>
      <c r="G119" s="101" t="n">
        <f aca="false">-IF($E$121+G118*G126&gt;0,$E$121*G126,0)</f>
        <v>-100.005</v>
      </c>
      <c r="H119" s="101" t="n">
        <f aca="false">-IF($E$121+H118*H126&gt;0,$E$121*H126,0)</f>
        <v>-100.005</v>
      </c>
      <c r="I119" s="101" t="n">
        <f aca="false">-IF($E$121+I118*I126&gt;0,$E$121*I126,0)</f>
        <v>-100.005</v>
      </c>
      <c r="J119" s="101" t="n">
        <f aca="false">-IF($E$121+J118*J126&gt;0,$E$121*J126,0)</f>
        <v>-100.005</v>
      </c>
    </row>
    <row r="120" customFormat="false" ht="12.75" hidden="false" customHeight="false" outlineLevel="0" collapsed="false">
      <c r="B120" s="61" t="s">
        <v>402</v>
      </c>
      <c r="E120" s="75"/>
      <c r="F120" s="75" t="n">
        <f aca="false">+-MIN(SUM(F118:F119),MAX(F101,0))</f>
        <v>-0</v>
      </c>
      <c r="G120" s="75" t="n">
        <f aca="false">+-MIN(SUM(G118:G119),MAX(G101,0))</f>
        <v>-0</v>
      </c>
      <c r="H120" s="75" t="n">
        <f aca="false">+-MIN(SUM(H118:H119),MAX(H101,0))</f>
        <v>-0</v>
      </c>
      <c r="I120" s="75" t="n">
        <f aca="false">+-MIN(SUM(I118:I119),MAX(I101,0))</f>
        <v>-0</v>
      </c>
      <c r="J120" s="75" t="n">
        <f aca="false">+-MIN(SUM(J118:J119),MAX(J101,0))</f>
        <v>-0</v>
      </c>
    </row>
    <row r="121" customFormat="false" ht="12.75" hidden="false" customHeight="false" outlineLevel="0" collapsed="false">
      <c r="B121" s="81" t="s">
        <v>403</v>
      </c>
      <c r="C121" s="81"/>
      <c r="D121" s="81"/>
      <c r="E121" s="100" t="n">
        <f aca="false">+E11</f>
        <v>10000.5</v>
      </c>
      <c r="F121" s="82" t="n">
        <f aca="false">SUM(F118:F120)</f>
        <v>9900.495</v>
      </c>
      <c r="G121" s="82" t="n">
        <f aca="false">SUM(G118:G120)</f>
        <v>9800.49</v>
      </c>
      <c r="H121" s="82" t="n">
        <f aca="false">SUM(H118:H120)</f>
        <v>9700.485</v>
      </c>
      <c r="I121" s="82" t="n">
        <f aca="false">SUM(I118:I120)</f>
        <v>9600.48</v>
      </c>
      <c r="J121" s="82" t="n">
        <f aca="false">SUM(J118:J120)</f>
        <v>9500.475</v>
      </c>
    </row>
    <row r="122" customFormat="false" ht="12.75" hidden="false" customHeight="false" outlineLevel="0" collapsed="false">
      <c r="E122" s="75"/>
      <c r="F122" s="75"/>
      <c r="G122" s="75"/>
      <c r="H122" s="75"/>
      <c r="I122" s="75"/>
      <c r="J122" s="75"/>
    </row>
    <row r="123" customFormat="false" ht="12.75" hidden="false" customHeight="false" outlineLevel="0" collapsed="false">
      <c r="B123" s="61" t="s">
        <v>404</v>
      </c>
      <c r="E123" s="75"/>
      <c r="F123" s="75" t="n">
        <f aca="false">+E121</f>
        <v>10000.5</v>
      </c>
      <c r="G123" s="75" t="n">
        <f aca="false">+F121</f>
        <v>9900.495</v>
      </c>
      <c r="H123" s="75" t="n">
        <f aca="false">+G121</f>
        <v>9800.49</v>
      </c>
      <c r="I123" s="75" t="n">
        <f aca="false">+H121</f>
        <v>9700.485</v>
      </c>
      <c r="J123" s="75" t="n">
        <f aca="false">+I121</f>
        <v>9600.48</v>
      </c>
    </row>
    <row r="124" customFormat="false" ht="12.75" hidden="false" customHeight="false" outlineLevel="0" collapsed="false">
      <c r="B124" s="61" t="s">
        <v>405</v>
      </c>
      <c r="F124" s="69" t="n">
        <v>0.085</v>
      </c>
      <c r="G124" s="92" t="n">
        <f aca="false">+F124</f>
        <v>0.085</v>
      </c>
      <c r="H124" s="92" t="n">
        <f aca="false">+G124</f>
        <v>0.085</v>
      </c>
      <c r="I124" s="92" t="n">
        <f aca="false">+H124</f>
        <v>0.085</v>
      </c>
      <c r="J124" s="92" t="n">
        <f aca="false">+I124</f>
        <v>0.085</v>
      </c>
    </row>
    <row r="125" customFormat="false" ht="12.75" hidden="false" customHeight="false" outlineLevel="0" collapsed="false">
      <c r="B125" s="61" t="s">
        <v>406</v>
      </c>
      <c r="E125" s="75"/>
      <c r="F125" s="75" t="n">
        <f aca="false">+-F123*F124</f>
        <v>-850.0425</v>
      </c>
      <c r="G125" s="75" t="n">
        <f aca="false">+-G123*G124</f>
        <v>-841.542075</v>
      </c>
      <c r="H125" s="75" t="n">
        <f aca="false">+-H123*H124</f>
        <v>-833.04165</v>
      </c>
      <c r="I125" s="75" t="n">
        <f aca="false">+-I123*I124</f>
        <v>-824.541225</v>
      </c>
      <c r="J125" s="75" t="n">
        <f aca="false">+-J123*J124</f>
        <v>-816.0408</v>
      </c>
    </row>
    <row r="126" customFormat="false" ht="12.75" hidden="false" customHeight="false" outlineLevel="0" collapsed="false">
      <c r="B126" s="61" t="s">
        <v>407</v>
      </c>
      <c r="F126" s="69" t="n">
        <v>0.01</v>
      </c>
      <c r="G126" s="92" t="n">
        <f aca="false">+F126</f>
        <v>0.01</v>
      </c>
      <c r="H126" s="92" t="n">
        <f aca="false">+G126</f>
        <v>0.01</v>
      </c>
      <c r="I126" s="92" t="n">
        <f aca="false">+H126</f>
        <v>0.01</v>
      </c>
      <c r="J126" s="92" t="n">
        <f aca="false">+I126</f>
        <v>0.01</v>
      </c>
    </row>
    <row r="128" customFormat="false" ht="12.75" hidden="false" customHeight="false" outlineLevel="0" collapsed="false">
      <c r="B128" s="93" t="s">
        <v>337</v>
      </c>
    </row>
    <row r="129" customFormat="false" ht="12.75" hidden="false" customHeight="false" outlineLevel="0" collapsed="false">
      <c r="B129" s="61" t="s">
        <v>400</v>
      </c>
      <c r="E129" s="75"/>
      <c r="F129" s="75" t="n">
        <f aca="false">+E132</f>
        <v>1999.5</v>
      </c>
      <c r="G129" s="75" t="n">
        <f aca="false">+F132</f>
        <v>1999.5</v>
      </c>
      <c r="H129" s="75" t="n">
        <f aca="false">+G132</f>
        <v>1999.5</v>
      </c>
      <c r="I129" s="75" t="n">
        <f aca="false">+H132</f>
        <v>1999.5</v>
      </c>
      <c r="J129" s="75" t="n">
        <f aca="false">+I132</f>
        <v>1999.5</v>
      </c>
    </row>
    <row r="130" customFormat="false" ht="12.75" hidden="false" customHeight="false" outlineLevel="0" collapsed="false">
      <c r="B130" s="61" t="s">
        <v>408</v>
      </c>
      <c r="E130" s="75"/>
      <c r="F130" s="75" t="n">
        <f aca="false">+-F139</f>
        <v>0</v>
      </c>
      <c r="G130" s="75" t="n">
        <f aca="false">+-G139</f>
        <v>0</v>
      </c>
      <c r="H130" s="75" t="n">
        <f aca="false">+-H139</f>
        <v>0</v>
      </c>
      <c r="I130" s="75" t="n">
        <f aca="false">+-I139</f>
        <v>0</v>
      </c>
      <c r="J130" s="75" t="n">
        <f aca="false">+-J139</f>
        <v>0</v>
      </c>
    </row>
    <row r="131" customFormat="false" ht="12.75" hidden="false" customHeight="false" outlineLevel="0" collapsed="false">
      <c r="B131" s="61" t="s">
        <v>402</v>
      </c>
      <c r="E131" s="75"/>
      <c r="F131" s="75" t="n">
        <f aca="false">+IF(F103&gt;0,-MIN(SUM(F129:F130),F103),0)</f>
        <v>0</v>
      </c>
      <c r="G131" s="75" t="n">
        <f aca="false">+IF(G103&gt;0,-MIN(SUM(G129:G130),G103),0)</f>
        <v>0</v>
      </c>
      <c r="H131" s="75" t="n">
        <f aca="false">+IF(H103&gt;0,-MIN(SUM(H129:H130),H103),0)</f>
        <v>0</v>
      </c>
      <c r="I131" s="75" t="n">
        <f aca="false">+IF(I103&gt;0,-MIN(SUM(I129:I130),I103),0)</f>
        <v>0</v>
      </c>
      <c r="J131" s="75" t="n">
        <f aca="false">+IF(J103&gt;0,-MIN(SUM(J129:J130),J103),0)</f>
        <v>0</v>
      </c>
    </row>
    <row r="132" customFormat="false" ht="12.75" hidden="false" customHeight="false" outlineLevel="0" collapsed="false">
      <c r="B132" s="81" t="s">
        <v>403</v>
      </c>
      <c r="C132" s="81"/>
      <c r="D132" s="81"/>
      <c r="E132" s="100" t="n">
        <f aca="false">+E12</f>
        <v>1999.5</v>
      </c>
      <c r="F132" s="82" t="n">
        <f aca="false">SUM(F129:F131)</f>
        <v>1999.5</v>
      </c>
      <c r="G132" s="82" t="n">
        <f aca="false">SUM(G129:G131)</f>
        <v>1999.5</v>
      </c>
      <c r="H132" s="82" t="n">
        <f aca="false">SUM(H129:H131)</f>
        <v>1999.5</v>
      </c>
      <c r="I132" s="82" t="n">
        <f aca="false">SUM(I129:I131)</f>
        <v>1999.5</v>
      </c>
      <c r="J132" s="82" t="n">
        <f aca="false">SUM(J129:J131)</f>
        <v>1999.5</v>
      </c>
    </row>
    <row r="133" customFormat="false" ht="12.75" hidden="false" customHeight="false" outlineLevel="0" collapsed="false">
      <c r="E133" s="75"/>
      <c r="F133" s="75"/>
      <c r="G133" s="75"/>
      <c r="H133" s="75"/>
      <c r="I133" s="75"/>
      <c r="J133" s="75"/>
    </row>
    <row r="134" customFormat="false" ht="12.75" hidden="false" customHeight="false" outlineLevel="0" collapsed="false">
      <c r="B134" s="61" t="s">
        <v>404</v>
      </c>
      <c r="E134" s="75"/>
      <c r="F134" s="75" t="n">
        <f aca="false">+E132</f>
        <v>1999.5</v>
      </c>
      <c r="G134" s="75" t="n">
        <f aca="false">+F132</f>
        <v>1999.5</v>
      </c>
      <c r="H134" s="75" t="n">
        <f aca="false">+G132</f>
        <v>1999.5</v>
      </c>
      <c r="I134" s="75" t="n">
        <f aca="false">+H132</f>
        <v>1999.5</v>
      </c>
      <c r="J134" s="75" t="n">
        <f aca="false">+I132</f>
        <v>1999.5</v>
      </c>
    </row>
    <row r="135" customFormat="false" ht="12.75" hidden="false" customHeight="false" outlineLevel="0" collapsed="false">
      <c r="B135" s="61" t="s">
        <v>405</v>
      </c>
      <c r="F135" s="69" t="n">
        <v>0.12</v>
      </c>
      <c r="G135" s="92" t="n">
        <f aca="false">+F135</f>
        <v>0.12</v>
      </c>
      <c r="H135" s="92" t="n">
        <f aca="false">+G135</f>
        <v>0.12</v>
      </c>
      <c r="I135" s="92" t="n">
        <f aca="false">+H135</f>
        <v>0.12</v>
      </c>
      <c r="J135" s="92" t="n">
        <f aca="false">+I135</f>
        <v>0.12</v>
      </c>
    </row>
    <row r="136" customFormat="false" ht="12.75" hidden="false" customHeight="false" outlineLevel="0" collapsed="false">
      <c r="B136" s="61" t="s">
        <v>406</v>
      </c>
      <c r="E136" s="75"/>
      <c r="F136" s="75" t="n">
        <f aca="false">+-F134*F135</f>
        <v>-239.94</v>
      </c>
      <c r="G136" s="75" t="n">
        <f aca="false">+-G134*G135</f>
        <v>-239.94</v>
      </c>
      <c r="H136" s="75" t="n">
        <f aca="false">+-H134*H135</f>
        <v>-239.94</v>
      </c>
      <c r="I136" s="75" t="n">
        <f aca="false">+-I134*I135</f>
        <v>-239.94</v>
      </c>
      <c r="J136" s="75" t="n">
        <f aca="false">+-J134*J135</f>
        <v>-239.94</v>
      </c>
    </row>
    <row r="138" customFormat="false" ht="12.75" hidden="false" customHeight="false" outlineLevel="0" collapsed="false">
      <c r="B138" s="61" t="s">
        <v>409</v>
      </c>
      <c r="F138" s="69" t="n">
        <v>0</v>
      </c>
      <c r="G138" s="92" t="n">
        <f aca="false">+F138</f>
        <v>0</v>
      </c>
      <c r="H138" s="92" t="n">
        <f aca="false">+G138</f>
        <v>0</v>
      </c>
      <c r="I138" s="92" t="n">
        <f aca="false">+H138</f>
        <v>0</v>
      </c>
      <c r="J138" s="92" t="n">
        <f aca="false">+I138</f>
        <v>0</v>
      </c>
    </row>
    <row r="139" customFormat="false" ht="12.75" hidden="false" customHeight="false" outlineLevel="0" collapsed="false">
      <c r="B139" s="61" t="s">
        <v>410</v>
      </c>
      <c r="E139" s="75"/>
      <c r="F139" s="75" t="n">
        <f aca="false">+E132*-F138</f>
        <v>-0</v>
      </c>
      <c r="G139" s="75" t="n">
        <f aca="false">+F132*-G138</f>
        <v>-0</v>
      </c>
      <c r="H139" s="75" t="n">
        <f aca="false">+G132*-H138</f>
        <v>-0</v>
      </c>
      <c r="I139" s="75" t="n">
        <f aca="false">+H132*-I138</f>
        <v>-0</v>
      </c>
      <c r="J139" s="75" t="n">
        <f aca="false">+I132*-J138</f>
        <v>-0</v>
      </c>
    </row>
    <row r="140" customFormat="false" ht="12.75" hidden="false" customHeight="false" outlineLevel="0" collapsed="false">
      <c r="E140" s="75"/>
      <c r="F140" s="75"/>
      <c r="G140" s="75"/>
      <c r="H140" s="75"/>
      <c r="I140" s="75"/>
      <c r="J140" s="75"/>
    </row>
    <row r="141" customFormat="false" ht="12.75" hidden="false" customHeight="false" outlineLevel="0" collapsed="false">
      <c r="B141" s="93" t="s">
        <v>370</v>
      </c>
      <c r="E141" s="75"/>
      <c r="F141" s="75"/>
      <c r="G141" s="75"/>
      <c r="H141" s="75"/>
      <c r="I141" s="75"/>
      <c r="J141" s="75"/>
    </row>
    <row r="142" customFormat="false" ht="12.75" hidden="false" customHeight="false" outlineLevel="0" collapsed="false">
      <c r="B142" s="61" t="s">
        <v>400</v>
      </c>
      <c r="E142" s="75"/>
      <c r="F142" s="75" t="n">
        <f aca="false">+E144</f>
        <v>0</v>
      </c>
      <c r="G142" s="75" t="n">
        <f aca="false">+F144</f>
        <v>2000</v>
      </c>
      <c r="H142" s="75" t="n">
        <f aca="false">+G144</f>
        <v>2000</v>
      </c>
      <c r="I142" s="75" t="n">
        <f aca="false">+H144</f>
        <v>2000</v>
      </c>
      <c r="J142" s="75" t="n">
        <f aca="false">+I144</f>
        <v>2000</v>
      </c>
    </row>
    <row r="143" customFormat="false" ht="12.75" hidden="false" customHeight="false" outlineLevel="0" collapsed="false">
      <c r="B143" s="61" t="s">
        <v>411</v>
      </c>
      <c r="E143" s="75"/>
      <c r="F143" s="75" t="n">
        <f aca="false">+F92</f>
        <v>2000</v>
      </c>
      <c r="G143" s="75" t="n">
        <f aca="false">+G92</f>
        <v>0</v>
      </c>
      <c r="H143" s="75" t="n">
        <f aca="false">+H92</f>
        <v>0</v>
      </c>
      <c r="I143" s="75" t="n">
        <f aca="false">+I92</f>
        <v>0</v>
      </c>
      <c r="J143" s="75" t="n">
        <f aca="false">+J92</f>
        <v>0</v>
      </c>
    </row>
    <row r="144" customFormat="false" ht="12.75" hidden="false" customHeight="false" outlineLevel="0" collapsed="false">
      <c r="B144" s="81" t="s">
        <v>403</v>
      </c>
      <c r="C144" s="81"/>
      <c r="D144" s="81"/>
      <c r="E144" s="100" t="n">
        <v>0</v>
      </c>
      <c r="F144" s="82" t="n">
        <f aca="false">SUM(F142:F143)</f>
        <v>2000</v>
      </c>
      <c r="G144" s="82" t="n">
        <f aca="false">SUM(G142:G143)</f>
        <v>2000</v>
      </c>
      <c r="H144" s="82" t="n">
        <f aca="false">SUM(H142:H143)</f>
        <v>2000</v>
      </c>
      <c r="I144" s="82" t="n">
        <f aca="false">SUM(I142:I143)</f>
        <v>2000</v>
      </c>
      <c r="J144" s="82" t="n">
        <f aca="false">SUM(J142:J143)</f>
        <v>2000</v>
      </c>
    </row>
    <row r="145" customFormat="false" ht="12.75" hidden="false" customHeight="false" outlineLevel="0" collapsed="false">
      <c r="E145" s="75"/>
      <c r="F145" s="75"/>
      <c r="G145" s="75"/>
      <c r="H145" s="75"/>
      <c r="I145" s="75"/>
      <c r="J145" s="75"/>
    </row>
    <row r="146" customFormat="false" ht="12.75" hidden="false" customHeight="false" outlineLevel="0" collapsed="false">
      <c r="B146" s="61" t="s">
        <v>404</v>
      </c>
      <c r="E146" s="75"/>
      <c r="F146" s="75" t="n">
        <f aca="false">+E144</f>
        <v>0</v>
      </c>
      <c r="G146" s="75" t="n">
        <f aca="false">+F144</f>
        <v>2000</v>
      </c>
      <c r="H146" s="75" t="n">
        <f aca="false">+G144</f>
        <v>2000</v>
      </c>
      <c r="I146" s="75" t="n">
        <f aca="false">+H144</f>
        <v>2000</v>
      </c>
      <c r="J146" s="75" t="n">
        <f aca="false">+I144</f>
        <v>2000</v>
      </c>
    </row>
    <row r="147" customFormat="false" ht="12.75" hidden="false" customHeight="false" outlineLevel="0" collapsed="false">
      <c r="B147" s="61" t="s">
        <v>405</v>
      </c>
      <c r="F147" s="69" t="n">
        <v>0.03</v>
      </c>
      <c r="G147" s="92" t="n">
        <f aca="false">+F147</f>
        <v>0.03</v>
      </c>
      <c r="H147" s="92" t="n">
        <f aca="false">+G147</f>
        <v>0.03</v>
      </c>
      <c r="I147" s="92" t="n">
        <f aca="false">+H147</f>
        <v>0.03</v>
      </c>
      <c r="J147" s="92" t="n">
        <f aca="false">+I147</f>
        <v>0.03</v>
      </c>
    </row>
    <row r="148" customFormat="false" ht="12.75" hidden="false" customHeight="false" outlineLevel="0" collapsed="false">
      <c r="B148" s="61" t="s">
        <v>412</v>
      </c>
      <c r="E148" s="75"/>
      <c r="F148" s="75" t="n">
        <f aca="false">+F146*F147</f>
        <v>0</v>
      </c>
      <c r="G148" s="75" t="n">
        <f aca="false">+G146*G147</f>
        <v>60</v>
      </c>
      <c r="H148" s="75" t="n">
        <f aca="false">+H146*H147</f>
        <v>60</v>
      </c>
      <c r="I148" s="75" t="n">
        <f aca="false">+I146*I147</f>
        <v>60</v>
      </c>
      <c r="J148" s="75" t="n">
        <f aca="false">+J146*J147</f>
        <v>60</v>
      </c>
    </row>
    <row r="149" customFormat="false" ht="12.75" hidden="false" customHeight="false" outlineLevel="0" collapsed="false">
      <c r="E149" s="75"/>
      <c r="F149" s="75"/>
      <c r="G149" s="75"/>
      <c r="H149" s="75"/>
      <c r="I149" s="75"/>
      <c r="J149" s="75"/>
    </row>
    <row r="150" customFormat="false" ht="12.75" hidden="false" customHeight="false" outlineLevel="0" collapsed="false">
      <c r="B150" s="61" t="s">
        <v>413</v>
      </c>
      <c r="E150" s="75"/>
      <c r="F150" s="75" t="n">
        <f aca="false">+F115+F125+F136+F139</f>
        <v>-1089.9825</v>
      </c>
      <c r="G150" s="75" t="n">
        <f aca="false">+G115+G125+G136+G139</f>
        <v>-1264.93062875</v>
      </c>
      <c r="H150" s="75" t="n">
        <f aca="false">+H115+H125+H136+H139</f>
        <v>-1277.80889735813</v>
      </c>
      <c r="I150" s="75" t="n">
        <f aca="false">+I115+I125+I136+I139</f>
        <v>-1263.97312718792</v>
      </c>
      <c r="J150" s="75" t="n">
        <f aca="false">+J115+J125+J136+J139</f>
        <v>-1235.85782947497</v>
      </c>
    </row>
    <row r="151" customFormat="false" ht="12.75" hidden="false" customHeight="false" outlineLevel="0" collapsed="false">
      <c r="F151" s="102"/>
      <c r="G151" s="102"/>
      <c r="H151" s="102"/>
      <c r="I151" s="102"/>
      <c r="J151" s="102"/>
    </row>
    <row r="152" customFormat="false" ht="12.75" hidden="false" customHeight="false" outlineLevel="0" collapsed="false">
      <c r="A152" s="61" t="s">
        <v>348</v>
      </c>
      <c r="B152" s="85" t="s">
        <v>414</v>
      </c>
      <c r="C152" s="85"/>
      <c r="D152" s="85"/>
      <c r="E152" s="85" t="n">
        <v>2013</v>
      </c>
      <c r="F152" s="85" t="n">
        <f aca="false">E152+1</f>
        <v>2014</v>
      </c>
      <c r="G152" s="85" t="n">
        <f aca="false">F152+1</f>
        <v>2015</v>
      </c>
      <c r="H152" s="85" t="n">
        <f aca="false">G152+1</f>
        <v>2016</v>
      </c>
      <c r="I152" s="85" t="n">
        <f aca="false">H152+1</f>
        <v>2017</v>
      </c>
      <c r="J152" s="85" t="n">
        <f aca="false">I152+1</f>
        <v>2018</v>
      </c>
    </row>
    <row r="153" customFormat="false" ht="12.75" hidden="false" customHeight="false" outlineLevel="0" collapsed="false">
      <c r="B153" s="61" t="s">
        <v>125</v>
      </c>
      <c r="E153" s="75"/>
      <c r="F153" s="75" t="n">
        <f aca="false">+F31</f>
        <v>2100</v>
      </c>
      <c r="G153" s="75" t="n">
        <f aca="false">+G31</f>
        <v>2700</v>
      </c>
      <c r="H153" s="75" t="n">
        <f aca="false">+H31</f>
        <v>3300</v>
      </c>
      <c r="I153" s="75" t="n">
        <f aca="false">+I31</f>
        <v>3600</v>
      </c>
      <c r="J153" s="75" t="n">
        <f aca="false">+J31</f>
        <v>3600</v>
      </c>
    </row>
    <row r="154" customFormat="false" ht="12.75" hidden="false" customHeight="false" outlineLevel="0" collapsed="false">
      <c r="B154" s="61" t="s">
        <v>320</v>
      </c>
      <c r="F154" s="103" t="n">
        <f aca="false">+$E$4</f>
        <v>6</v>
      </c>
      <c r="G154" s="103" t="n">
        <f aca="false">+$E$4</f>
        <v>6</v>
      </c>
      <c r="H154" s="103" t="n">
        <f aca="false">+$E$4</f>
        <v>6</v>
      </c>
      <c r="I154" s="103" t="n">
        <f aca="false">+$E$4</f>
        <v>6</v>
      </c>
      <c r="J154" s="103" t="n">
        <f aca="false">+$E$4</f>
        <v>6</v>
      </c>
    </row>
    <row r="155" customFormat="false" ht="12.75" hidden="false" customHeight="false" outlineLevel="0" collapsed="false">
      <c r="B155" s="81" t="s">
        <v>415</v>
      </c>
      <c r="C155" s="81"/>
      <c r="D155" s="81"/>
      <c r="E155" s="82"/>
      <c r="F155" s="82" t="n">
        <f aca="false">+F153*F154</f>
        <v>12600</v>
      </c>
      <c r="G155" s="82" t="n">
        <f aca="false">+G153*G154</f>
        <v>16200</v>
      </c>
      <c r="H155" s="82" t="n">
        <f aca="false">+H153*H154</f>
        <v>19800</v>
      </c>
      <c r="I155" s="82" t="n">
        <f aca="false">+I153*I154</f>
        <v>21600</v>
      </c>
      <c r="J155" s="82" t="n">
        <f aca="false">+J153*J154</f>
        <v>21600</v>
      </c>
    </row>
    <row r="156" customFormat="false" ht="12.75" hidden="false" customHeight="false" outlineLevel="0" collapsed="false">
      <c r="B156" s="61" t="s">
        <v>416</v>
      </c>
      <c r="E156" s="75"/>
      <c r="F156" s="75" t="n">
        <f aca="false">+-F67+F62</f>
        <v>-12520.688625</v>
      </c>
      <c r="G156" s="75" t="n">
        <f aca="false">+-G67+G62</f>
        <v>-12726.0935336875</v>
      </c>
      <c r="H156" s="75" t="n">
        <f aca="false">+-H67+H62</f>
        <v>-12549.8693169703</v>
      </c>
      <c r="I156" s="75" t="n">
        <f aca="false">+-I67+I62</f>
        <v>-12169.6518496424</v>
      </c>
      <c r="J156" s="75" t="n">
        <f aca="false">+-J67+J62</f>
        <v>-11771.1594388012</v>
      </c>
    </row>
    <row r="157" customFormat="false" ht="12.75" hidden="false" customHeight="false" outlineLevel="0" collapsed="false">
      <c r="B157" s="81" t="s">
        <v>417</v>
      </c>
      <c r="C157" s="81"/>
      <c r="D157" s="81"/>
      <c r="E157" s="82"/>
      <c r="F157" s="82" t="n">
        <f aca="false">+SUM(F155:F156)</f>
        <v>79.3113749999993</v>
      </c>
      <c r="G157" s="82" t="n">
        <f aca="false">+SUM(G155:G156)</f>
        <v>3473.9064663125</v>
      </c>
      <c r="H157" s="82" t="n">
        <f aca="false">+SUM(H155:H156)</f>
        <v>7250.13068302972</v>
      </c>
      <c r="I157" s="82" t="n">
        <f aca="false">+SUM(I155:I156)</f>
        <v>9430.34815035757</v>
      </c>
      <c r="J157" s="82" t="n">
        <f aca="false">+SUM(J155:J156)</f>
        <v>9828.84056119884</v>
      </c>
    </row>
    <row r="158" customFormat="false" ht="12.75" hidden="false" customHeight="false" outlineLevel="0" collapsed="false">
      <c r="B158" s="61" t="s">
        <v>418</v>
      </c>
      <c r="E158" s="75"/>
      <c r="F158" s="75" t="n">
        <f aca="false">+-F157*$K$158</f>
        <v>-14.8917103794642</v>
      </c>
      <c r="G158" s="75" t="n">
        <f aca="false">+-G157*$K$158</f>
        <v>-652.269727787142</v>
      </c>
      <c r="H158" s="75" t="n">
        <f aca="false">+-H157*$K$158</f>
        <v>-1361.30342394072</v>
      </c>
      <c r="I158" s="75" t="n">
        <f aca="false">+-I157*$K$158</f>
        <v>-1770.6667351643</v>
      </c>
      <c r="J158" s="75" t="n">
        <f aca="false">+-J157*$K$158</f>
        <v>-1845.48870831333</v>
      </c>
      <c r="K158" s="104" t="n">
        <f aca="false">E13/SUM(E13:E14)</f>
        <v>0.187762605042017</v>
      </c>
    </row>
    <row r="159" customFormat="false" ht="12.75" hidden="false" customHeight="false" outlineLevel="0" collapsed="false">
      <c r="B159" s="81" t="s">
        <v>419</v>
      </c>
      <c r="C159" s="81"/>
      <c r="D159" s="81"/>
      <c r="E159" s="82"/>
      <c r="F159" s="82" t="n">
        <f aca="false">SUM(F157:F158)</f>
        <v>64.4196646205352</v>
      </c>
      <c r="G159" s="82" t="n">
        <f aca="false">SUM(G157:G158)</f>
        <v>2821.63673852536</v>
      </c>
      <c r="H159" s="82" t="n">
        <f aca="false">SUM(H157:H158)</f>
        <v>5888.827259089</v>
      </c>
      <c r="I159" s="82" t="n">
        <f aca="false">SUM(I157:I158)</f>
        <v>7659.68141519327</v>
      </c>
      <c r="J159" s="82" t="n">
        <f aca="false">SUM(J157:J158)</f>
        <v>7983.3518528855</v>
      </c>
    </row>
    <row r="160" customFormat="false" ht="12.75" hidden="false" customHeight="false" outlineLevel="0" collapsed="false">
      <c r="E160" s="75"/>
      <c r="F160" s="75"/>
      <c r="G160" s="75"/>
      <c r="H160" s="75"/>
      <c r="I160" s="75"/>
      <c r="J160" s="75"/>
    </row>
    <row r="161" customFormat="false" ht="12.75" hidden="false" customHeight="false" outlineLevel="0" collapsed="false">
      <c r="B161" s="105" t="n">
        <v>39297</v>
      </c>
      <c r="E161" s="75"/>
      <c r="F161" s="75" t="n">
        <f aca="false">+-$E$14</f>
        <v>-5799.375</v>
      </c>
      <c r="G161" s="75" t="n">
        <f aca="false">+-$E$14</f>
        <v>-5799.375</v>
      </c>
      <c r="H161" s="75" t="n">
        <f aca="false">+-$E$14</f>
        <v>-5799.375</v>
      </c>
      <c r="I161" s="75" t="n">
        <f aca="false">+-$E$14</f>
        <v>-5799.375</v>
      </c>
      <c r="J161" s="75" t="n">
        <f aca="false">+-$E$14</f>
        <v>-5799.375</v>
      </c>
    </row>
    <row r="162" customFormat="false" ht="12.75" hidden="false" customHeight="false" outlineLevel="0" collapsed="false">
      <c r="B162" s="106" t="n">
        <f aca="false">DATE(YEAR(B161)+1,MONTH(B161),DAY(B161))</f>
        <v>39663</v>
      </c>
      <c r="E162" s="75"/>
      <c r="F162" s="75" t="n">
        <f aca="false">+F159</f>
        <v>64.4196646205352</v>
      </c>
      <c r="G162" s="75"/>
      <c r="H162" s="75"/>
      <c r="I162" s="75"/>
      <c r="J162" s="75"/>
    </row>
    <row r="163" customFormat="false" ht="12.75" hidden="false" customHeight="false" outlineLevel="0" collapsed="false">
      <c r="B163" s="106" t="n">
        <f aca="false">DATE(YEAR(B162)+1,MONTH(B162),DAY(B162))</f>
        <v>40028</v>
      </c>
      <c r="E163" s="75"/>
      <c r="F163" s="75"/>
      <c r="G163" s="75" t="n">
        <f aca="false">+G159</f>
        <v>2821.63673852536</v>
      </c>
      <c r="H163" s="75"/>
      <c r="I163" s="75"/>
      <c r="J163" s="75"/>
    </row>
    <row r="164" customFormat="false" ht="12.75" hidden="false" customHeight="false" outlineLevel="0" collapsed="false">
      <c r="B164" s="106" t="n">
        <f aca="false">DATE(YEAR(B163)+1,MONTH(B163),DAY(B163))</f>
        <v>40393</v>
      </c>
      <c r="E164" s="75"/>
      <c r="F164" s="75"/>
      <c r="G164" s="75"/>
      <c r="H164" s="75" t="n">
        <f aca="false">+H159</f>
        <v>5888.827259089</v>
      </c>
      <c r="I164" s="75"/>
      <c r="J164" s="75"/>
    </row>
    <row r="165" customFormat="false" ht="12.75" hidden="false" customHeight="false" outlineLevel="0" collapsed="false">
      <c r="B165" s="106" t="n">
        <f aca="false">DATE(YEAR(B164)+1,MONTH(B164),DAY(B164))</f>
        <v>40758</v>
      </c>
      <c r="E165" s="75"/>
      <c r="F165" s="75"/>
      <c r="G165" s="75"/>
      <c r="H165" s="75"/>
      <c r="I165" s="75" t="n">
        <f aca="false">+I159</f>
        <v>7659.68141519327</v>
      </c>
      <c r="J165" s="75"/>
    </row>
    <row r="166" customFormat="false" ht="12.75" hidden="false" customHeight="false" outlineLevel="0" collapsed="false">
      <c r="B166" s="106" t="n">
        <f aca="false">DATE(YEAR(B165)+1,MONTH(B165),DAY(B165))</f>
        <v>41124</v>
      </c>
      <c r="E166" s="75"/>
      <c r="F166" s="75"/>
      <c r="G166" s="75"/>
      <c r="H166" s="75"/>
      <c r="I166" s="75"/>
      <c r="J166" s="75" t="n">
        <f aca="false">+J159</f>
        <v>7983.3518528855</v>
      </c>
    </row>
    <row r="167" customFormat="false" ht="12.75" hidden="false" customHeight="false" outlineLevel="0" collapsed="false">
      <c r="B167" s="81" t="s">
        <v>156</v>
      </c>
      <c r="C167" s="81"/>
      <c r="D167" s="81"/>
      <c r="E167" s="81"/>
      <c r="F167" s="107" t="n">
        <f aca="false">IFERROR(XIRR(F161:F166,$B$161:$B$166),"n/m")</f>
        <v>-0.98875454437143</v>
      </c>
      <c r="G167" s="107" t="n">
        <f aca="false">IFERROR(XIRR(G161:G166,$B$161:$B$166),"n/m")</f>
        <v>-0.302130910140251</v>
      </c>
      <c r="H167" s="107" t="n">
        <f aca="false">IFERROR(XIRR(H161:H166,$B$161:$B$166),"n/m")</f>
        <v>0.00511059865755629</v>
      </c>
      <c r="I167" s="107" t="n">
        <f aca="false">IFERROR(XIRR(I161:I166,$B$161:$B$166),"n/m")</f>
        <v>0.0719800494849288</v>
      </c>
      <c r="J167" s="107" t="n">
        <f aca="false">IFERROR(XIRR(J161:J166,$B$161:$B$166),"n/m")</f>
        <v>0.0659342726747505</v>
      </c>
    </row>
    <row r="168" customFormat="false" ht="12.75" hidden="false" customHeight="false" outlineLevel="0" collapsed="false">
      <c r="B168" s="61" t="s">
        <v>420</v>
      </c>
      <c r="F168" s="103" t="n">
        <f aca="false">+F162/F161*-1</f>
        <v>0.0111080357142856</v>
      </c>
      <c r="G168" s="103" t="n">
        <f aca="false">+G163/G161*-1</f>
        <v>0.486541521892507</v>
      </c>
      <c r="H168" s="103" t="n">
        <f aca="false">+H164/H161*-1</f>
        <v>1.01542446541032</v>
      </c>
      <c r="I168" s="103" t="n">
        <f aca="false">+I165/I161*-1</f>
        <v>1.32077705187081</v>
      </c>
      <c r="J168" s="103" t="n">
        <f aca="false">+J166/J161*-1</f>
        <v>1.37658831389339</v>
      </c>
    </row>
    <row r="169" customFormat="false" ht="12.75" hidden="false" customHeight="false" outlineLevel="0" collapsed="false">
      <c r="F169" s="102"/>
      <c r="G169" s="102"/>
      <c r="H169" s="102"/>
      <c r="I169" s="102"/>
      <c r="J169" s="102"/>
    </row>
    <row r="170" customFormat="false" ht="12.75" hidden="false" customHeight="false" outlineLevel="0" collapsed="false">
      <c r="A170" s="61" t="s">
        <v>421</v>
      </c>
      <c r="B170" s="85" t="s">
        <v>422</v>
      </c>
      <c r="C170" s="85"/>
      <c r="D170" s="85"/>
      <c r="E170" s="85"/>
      <c r="F170" s="85"/>
      <c r="G170" s="85"/>
      <c r="H170" s="85"/>
      <c r="I170" s="85"/>
      <c r="J170" s="85"/>
    </row>
    <row r="171" customFormat="false" ht="12.75" hidden="false" customHeight="false" outlineLevel="0" collapsed="false">
      <c r="F171" s="102"/>
      <c r="G171" s="102"/>
      <c r="H171" s="102"/>
      <c r="I171" s="102"/>
      <c r="J171" s="102"/>
    </row>
    <row r="172" customFormat="false" ht="12.75" hidden="false" customHeight="false" outlineLevel="0" collapsed="false">
      <c r="C172" s="61" t="s">
        <v>423</v>
      </c>
      <c r="D172" s="108" t="s">
        <v>320</v>
      </c>
      <c r="E172" s="108"/>
      <c r="F172" s="108"/>
      <c r="G172" s="108"/>
      <c r="H172" s="108"/>
      <c r="J172" s="102"/>
    </row>
    <row r="173" customFormat="false" ht="12.75" hidden="false" customHeight="false" outlineLevel="0" collapsed="false">
      <c r="C173" s="109" t="n">
        <f aca="false">+J167</f>
        <v>0.0659342726747505</v>
      </c>
      <c r="D173" s="110" t="n">
        <v>4</v>
      </c>
      <c r="E173" s="110" t="n">
        <f aca="false">D173+1</f>
        <v>5</v>
      </c>
      <c r="F173" s="110" t="n">
        <f aca="false">E173+1</f>
        <v>6</v>
      </c>
      <c r="G173" s="110" t="n">
        <f aca="false">F173+1</f>
        <v>7</v>
      </c>
      <c r="H173" s="110" t="n">
        <f aca="false">G173+1</f>
        <v>8</v>
      </c>
      <c r="J173" s="102"/>
    </row>
    <row r="174" customFormat="false" ht="12.75" hidden="false" customHeight="false" outlineLevel="0" collapsed="false">
      <c r="C174" s="96" t="n">
        <v>10</v>
      </c>
      <c r="D174" s="111" t="n">
        <f aca="false">IFERROR(((($J$153*D$173+$J$156)*(1-$K$158))/($E$14+(($C174-$E$3)*$E$5)))^(1/5)-1,"n/m")</f>
        <v>0.0082428680743416</v>
      </c>
      <c r="E174" s="107" t="n">
        <f aca="false">IFERROR(((($J$153*E$173+$J$156)*(1-$K$158))/($E$14+(($C174-$E$3)*$E$5)))^(1/5)-1,"n/m")</f>
        <v>0.198101886906289</v>
      </c>
      <c r="F174" s="107" t="n">
        <f aca="false">IFERROR(((($J$153*F$173+$J$156)*(1-$K$158))/($E$14+(($C174-$E$3)*$E$5)))^(1/5)-1,"n/m")</f>
        <v>0.31254066422353</v>
      </c>
      <c r="G174" s="107" t="n">
        <f aca="false">IFERROR(((($J$153*G$173+$J$156)*(1-$K$158))/($E$14+(($C174-$E$3)*$E$5)))^(1/5)-1,"n/m")</f>
        <v>0.397075937839568</v>
      </c>
      <c r="H174" s="112" t="n">
        <f aca="false">IFERROR(((($J$153*H$173+$J$156)*(1-$K$158))/($E$14+(($C174-$E$3)*$E$5)))^(1/5)-1,"n/m")</f>
        <v>0.46503946939885</v>
      </c>
    </row>
    <row r="175" customFormat="false" ht="12.75" hidden="false" customHeight="false" outlineLevel="0" collapsed="false">
      <c r="B175" s="61" t="s">
        <v>424</v>
      </c>
      <c r="C175" s="96" t="n">
        <v>11</v>
      </c>
      <c r="D175" s="113" t="n">
        <f aca="false">IFERROR(((($J$153*D$173+$J$156)*(1-$K$158))/($E$14+(($C175-$E$3)*$E$5)))^(1/5)-1,"n/m")</f>
        <v>-0.0966437195879266</v>
      </c>
      <c r="E175" s="114" t="n">
        <f aca="false">IFERROR(((($J$153*E$173+$J$156)*(1-$K$158))/($E$14+(($C175-$E$3)*$E$5)))^(1/5)-1,"n/m")</f>
        <v>0.0734644383624332</v>
      </c>
      <c r="F175" s="114" t="n">
        <f aca="false">IFERROR(((($J$153*F$173+$J$156)*(1-$K$158))/($E$14+(($C175-$E$3)*$E$5)))^(1/5)-1,"n/m")</f>
        <v>0.175998253860333</v>
      </c>
      <c r="G175" s="114" t="n">
        <f aca="false">IFERROR(((($J$153*G$173+$J$156)*(1-$K$158))/($E$14+(($C175-$E$3)*$E$5)))^(1/5)-1,"n/m")</f>
        <v>0.251739399922941</v>
      </c>
      <c r="H175" s="115" t="n">
        <f aca="false">IFERROR(((($J$153*H$173+$J$156)*(1-$K$158))/($E$14+(($C175-$E$3)*$E$5)))^(1/5)-1,"n/m")</f>
        <v>0.312632747168055</v>
      </c>
    </row>
    <row r="176" customFormat="false" ht="12.75" hidden="false" customHeight="false" outlineLevel="0" collapsed="false">
      <c r="B176" s="61" t="s">
        <v>425</v>
      </c>
      <c r="C176" s="96" t="n">
        <v>12</v>
      </c>
      <c r="D176" s="113" t="n">
        <f aca="false">IFERROR(((($J$153*D$173+$J$156)*(1-$K$158))/($E$14+(($C176-$E$3)*$E$5)))^(1/5)-1,"n/m")</f>
        <v>-0.158136035167842</v>
      </c>
      <c r="E176" s="114" t="n">
        <f aca="false">IFERROR(((($J$153*E$173+$J$156)*(1-$K$158))/($E$14+(($C176-$E$3)*$E$5)))^(1/5)-1,"n/m")</f>
        <v>0.000392699737349345</v>
      </c>
      <c r="F176" s="104" t="n">
        <f aca="false">IFERROR(((($J$153*F$173+$J$156)*(1-$K$158))/($E$14+(($C176-$E$3)*$E$5)))^(1/5)-1,"n/m")</f>
        <v>0.0959469415311358</v>
      </c>
      <c r="G176" s="114" t="n">
        <f aca="false">IFERROR(((($J$153*G$173+$J$156)*(1-$K$158))/($E$14+(($C176-$E$3)*$E$5)))^(1/5)-1,"n/m")</f>
        <v>0.166532316214214</v>
      </c>
      <c r="H176" s="115" t="n">
        <f aca="false">IFERROR(((($J$153*H$173+$J$156)*(1-$K$158))/($E$14+(($C176-$E$3)*$E$5)))^(1/5)-1,"n/m")</f>
        <v>0.223280595774843</v>
      </c>
    </row>
    <row r="177" customFormat="false" ht="12.75" hidden="false" customHeight="false" outlineLevel="0" collapsed="false">
      <c r="C177" s="96" t="n">
        <v>13</v>
      </c>
      <c r="D177" s="113" t="n">
        <f aca="false">IFERROR(((($J$153*D$173+$J$156)*(1-$K$158))/($E$14+(($C177-$E$3)*$E$5)))^(1/5)-1,"n/m")</f>
        <v>-0.200811043669423</v>
      </c>
      <c r="E177" s="114" t="n">
        <f aca="false">IFERROR(((($J$153*E$173+$J$156)*(1-$K$158))/($E$14+(($C177-$E$3)*$E$5)))^(1/5)-1,"n/m")</f>
        <v>-0.0503183043554827</v>
      </c>
      <c r="F177" s="114" t="n">
        <f aca="false">IFERROR(((($J$153*F$173+$J$156)*(1-$K$158))/($E$14+(($C177-$E$3)*$E$5)))^(1/5)-1,"n/m")</f>
        <v>0.0403921880307316</v>
      </c>
      <c r="G177" s="114" t="n">
        <f aca="false">IFERROR(((($J$153*G$173+$J$156)*(1-$K$158))/($E$14+(($C177-$E$3)*$E$5)))^(1/5)-1,"n/m")</f>
        <v>0.107399512588707</v>
      </c>
      <c r="H177" s="115" t="n">
        <f aca="false">IFERROR(((($J$153*H$173+$J$156)*(1-$K$158))/($E$14+(($C177-$E$3)*$E$5)))^(1/5)-1,"n/m")</f>
        <v>0.161271159565136</v>
      </c>
    </row>
    <row r="178" customFormat="false" ht="12.75" hidden="false" customHeight="false" outlineLevel="0" collapsed="false">
      <c r="C178" s="96" t="n">
        <v>14</v>
      </c>
      <c r="D178" s="116" t="n">
        <f aca="false">IFERROR(((($J$153*D$173+$J$156)*(1-$K$158))/($E$14+(($C178-$E$3)*$E$5)))^(1/5)-1,"n/m")</f>
        <v>-0.23310304506295</v>
      </c>
      <c r="E178" s="117" t="n">
        <f aca="false">IFERROR(((($J$153*E$173+$J$156)*(1-$K$158))/($E$14+(($C178-$E$3)*$E$5)))^(1/5)-1,"n/m")</f>
        <v>-0.0886911101809857</v>
      </c>
      <c r="F178" s="117" t="n">
        <f aca="false">IFERROR(((($J$153*F$173+$J$156)*(1-$K$158))/($E$14+(($C178-$E$3)*$E$5)))^(1/5)-1,"n/m")</f>
        <v>-0.00164586282016876</v>
      </c>
      <c r="G178" s="117" t="n">
        <f aca="false">IFERROR(((($J$153*G$173+$J$156)*(1-$K$158))/($E$14+(($C178-$E$3)*$E$5)))^(1/5)-1,"n/m")</f>
        <v>0.0626539660938006</v>
      </c>
      <c r="H178" s="118" t="n">
        <f aca="false">IFERROR(((($J$153*H$173+$J$156)*(1-$K$158))/($E$14+(($C178-$E$3)*$E$5)))^(1/5)-1,"n/m")</f>
        <v>0.114348877161337</v>
      </c>
    </row>
    <row r="180" customFormat="false" ht="12.75" hidden="false" customHeight="false" outlineLevel="0" collapsed="false">
      <c r="C180" s="61" t="s">
        <v>426</v>
      </c>
      <c r="D180" s="108" t="s">
        <v>320</v>
      </c>
      <c r="E180" s="108"/>
      <c r="F180" s="108"/>
      <c r="G180" s="108"/>
      <c r="H180" s="108"/>
    </row>
    <row r="181" customFormat="false" ht="12.75" hidden="false" customHeight="false" outlineLevel="0" collapsed="false">
      <c r="C181" s="109" t="n">
        <f aca="false">+J168</f>
        <v>1.37658831389339</v>
      </c>
      <c r="D181" s="119" t="n">
        <v>4</v>
      </c>
      <c r="E181" s="119" t="n">
        <f aca="false">D181+1</f>
        <v>5</v>
      </c>
      <c r="F181" s="119" t="n">
        <f aca="false">E181+1</f>
        <v>6</v>
      </c>
      <c r="G181" s="119" t="n">
        <f aca="false">F181+1</f>
        <v>7</v>
      </c>
      <c r="H181" s="119" t="n">
        <f aca="false">G181+1</f>
        <v>8</v>
      </c>
    </row>
    <row r="182" customFormat="false" ht="12.75" hidden="false" customHeight="false" outlineLevel="0" collapsed="false">
      <c r="C182" s="96" t="n">
        <v>10</v>
      </c>
      <c r="D182" s="120" t="n">
        <f aca="false">IFERROR((($J$153*D$181+$J$156)*(1-$K$158))/($E$14+(($C182-$E$3)*$E$5)),"n/m")</f>
        <v>1.04189941283954</v>
      </c>
      <c r="E182" s="121" t="n">
        <f aca="false">IFERROR((($J$153*E$181+$J$156)*(1-$K$158))/($E$14+(($C182-$E$3)*$E$5)),"n/m")</f>
        <v>2.46870252200635</v>
      </c>
      <c r="F182" s="121" t="n">
        <f aca="false">IFERROR((($J$153*F$181+$J$156)*(1-$K$158))/($E$14+(($C182-$E$3)*$E$5)),"n/m")</f>
        <v>3.89550563117316</v>
      </c>
      <c r="G182" s="121" t="n">
        <f aca="false">IFERROR((($J$153*G$181+$J$156)*(1-$K$158))/($E$14+(($C182-$E$3)*$E$5)),"n/m")</f>
        <v>5.32230874033998</v>
      </c>
      <c r="H182" s="122" t="n">
        <f aca="false">IFERROR((($J$153*H$181+$J$156)*(1-$K$158))/($E$14+(($C182-$E$3)*$E$5)),"n/m")</f>
        <v>6.74911184950679</v>
      </c>
    </row>
    <row r="183" customFormat="false" ht="12.75" hidden="false" customHeight="false" outlineLevel="0" collapsed="false">
      <c r="B183" s="61" t="s">
        <v>424</v>
      </c>
      <c r="C183" s="96" t="n">
        <v>11</v>
      </c>
      <c r="D183" s="123" t="n">
        <f aca="false">IFERROR((($J$153*D$181+$J$156)*(1-$K$158))/($E$14+(($C183-$E$3)*$E$5)),"n/m")</f>
        <v>0.601582703768417</v>
      </c>
      <c r="E183" s="124" t="n">
        <f aca="false">IFERROR((($J$153*E$181+$J$156)*(1-$K$158))/($E$14+(($C183-$E$3)*$E$5)),"n/m")</f>
        <v>1.42540510119014</v>
      </c>
      <c r="F183" s="124" t="n">
        <f aca="false">IFERROR((($J$153*F$181+$J$156)*(1-$K$158))/($E$14+(($C183-$E$3)*$E$5)),"n/m")</f>
        <v>2.24922749861187</v>
      </c>
      <c r="G183" s="124" t="n">
        <f aca="false">IFERROR((($J$153*G$181+$J$156)*(1-$K$158))/($E$14+(($C183-$E$3)*$E$5)),"n/m")</f>
        <v>3.0730498960336</v>
      </c>
      <c r="H183" s="125" t="n">
        <f aca="false">IFERROR((($J$153*H$181+$J$156)*(1-$K$158))/($E$14+(($C183-$E$3)*$E$5)),"n/m")</f>
        <v>3.89687229345532</v>
      </c>
    </row>
    <row r="184" customFormat="false" ht="12.75" hidden="false" customHeight="false" outlineLevel="0" collapsed="false">
      <c r="B184" s="61" t="s">
        <v>425</v>
      </c>
      <c r="C184" s="96" t="n">
        <v>12</v>
      </c>
      <c r="D184" s="123" t="n">
        <f aca="false">IFERROR((($J$153*D$181+$J$156)*(1-$K$158))/($E$14+(($C184-$E$3)*$E$5)),"n/m")</f>
        <v>0.422872654375645</v>
      </c>
      <c r="E184" s="124" t="n">
        <f aca="false">IFERROR((($J$153*E$181+$J$156)*(1-$K$158))/($E$14+(($C184-$E$3)*$E$5)),"n/m")</f>
        <v>1.0019650414233</v>
      </c>
      <c r="F184" s="126" t="n">
        <f aca="false">IFERROR((($J$153*F$181+$J$156)*(1-$K$158))/($E$14+(($C184-$E$3)*$E$5)),"n/m")</f>
        <v>1.58105742847095</v>
      </c>
      <c r="G184" s="124" t="n">
        <f aca="false">IFERROR((($J$153*G$181+$J$156)*(1-$K$158))/($E$14+(($C184-$E$3)*$E$5)),"n/m")</f>
        <v>2.1601498155186</v>
      </c>
      <c r="H184" s="125" t="n">
        <f aca="false">IFERROR((($J$153*H$181+$J$156)*(1-$K$158))/($E$14+(($C184-$E$3)*$E$5)),"n/m")</f>
        <v>2.73924220256625</v>
      </c>
    </row>
    <row r="185" customFormat="false" ht="12.75" hidden="false" customHeight="false" outlineLevel="0" collapsed="false">
      <c r="C185" s="96" t="n">
        <v>13</v>
      </c>
      <c r="D185" s="123" t="n">
        <f aca="false">IFERROR((($J$153*D$181+$J$156)*(1-$K$158))/($E$14+(($C185-$E$3)*$E$5)),"n/m")</f>
        <v>0.326022347046554</v>
      </c>
      <c r="E185" s="124" t="n">
        <f aca="false">IFERROR((($J$153*E$181+$J$156)*(1-$K$158))/($E$14+(($C185-$E$3)*$E$5)),"n/m")</f>
        <v>0.772485501446591</v>
      </c>
      <c r="F185" s="124" t="n">
        <f aca="false">IFERROR((($J$153*F$181+$J$156)*(1-$K$158))/($E$14+(($C185-$E$3)*$E$5)),"n/m")</f>
        <v>1.21894865584663</v>
      </c>
      <c r="G185" s="124" t="n">
        <f aca="false">IFERROR((($J$153*G$181+$J$156)*(1-$K$158))/($E$14+(($C185-$E$3)*$E$5)),"n/m")</f>
        <v>1.66541181024666</v>
      </c>
      <c r="H185" s="125" t="n">
        <f aca="false">IFERROR((($J$153*H$181+$J$156)*(1-$K$158))/($E$14+(($C185-$E$3)*$E$5)),"n/m")</f>
        <v>2.1118749646467</v>
      </c>
    </row>
    <row r="186" customFormat="false" ht="12.75" hidden="false" customHeight="false" outlineLevel="0" collapsed="false">
      <c r="C186" s="96" t="n">
        <v>14</v>
      </c>
      <c r="D186" s="127" t="n">
        <f aca="false">IFERROR((($J$153*D$181+$J$156)*(1-$K$158))/($E$14+(($C186-$E$3)*$E$5)),"n/m")</f>
        <v>0.265268124442957</v>
      </c>
      <c r="E186" s="128" t="n">
        <f aca="false">IFERROR((($J$153*E$181+$J$156)*(1-$K$158))/($E$14+(($C186-$E$3)*$E$5)),"n/m")</f>
        <v>0.628532927219413</v>
      </c>
      <c r="F186" s="128" t="n">
        <f aca="false">IFERROR((($J$153*F$181+$J$156)*(1-$K$158))/($E$14+(($C186-$E$3)*$E$5)),"n/m")</f>
        <v>0.99179772999587</v>
      </c>
      <c r="G186" s="128" t="n">
        <f aca="false">IFERROR((($J$153*G$181+$J$156)*(1-$K$158))/($E$14+(($C186-$E$3)*$E$5)),"n/m")</f>
        <v>1.35506253277233</v>
      </c>
      <c r="H186" s="129" t="n">
        <f aca="false">IFERROR((($J$153*H$181+$J$156)*(1-$K$158))/($E$14+(($C186-$E$3)*$E$5)),"n/m")</f>
        <v>1.71832733554878</v>
      </c>
    </row>
    <row r="188" customFormat="false" ht="12.75" hidden="false" customHeight="false" outlineLevel="0" collapsed="false">
      <c r="A188" s="61" t="s">
        <v>348</v>
      </c>
      <c r="B188" s="85" t="s">
        <v>427</v>
      </c>
      <c r="C188" s="85"/>
      <c r="D188" s="85"/>
      <c r="E188" s="85"/>
      <c r="F188" s="85"/>
      <c r="G188" s="85"/>
      <c r="H188" s="85"/>
      <c r="I188" s="85"/>
      <c r="J188" s="85"/>
    </row>
    <row r="189" customFormat="false" ht="12.75" hidden="false" customHeight="false" outlineLevel="0" collapsed="false">
      <c r="E189" s="130" t="n">
        <v>2006</v>
      </c>
      <c r="F189" s="130" t="n">
        <v>2011</v>
      </c>
      <c r="G189" s="130" t="s">
        <v>411</v>
      </c>
      <c r="H189" s="130" t="s">
        <v>425</v>
      </c>
      <c r="I189" s="130" t="s">
        <v>428</v>
      </c>
      <c r="J189" s="130" t="s">
        <v>429</v>
      </c>
    </row>
    <row r="190" customFormat="false" ht="12.75" hidden="false" customHeight="false" outlineLevel="0" collapsed="false">
      <c r="B190" s="61" t="s">
        <v>430</v>
      </c>
      <c r="E190" s="75"/>
      <c r="F190" s="75"/>
      <c r="G190" s="75"/>
      <c r="H190" s="75"/>
      <c r="I190" s="75" t="n">
        <f aca="false">+E14</f>
        <v>5799.375</v>
      </c>
    </row>
    <row r="191" customFormat="false" ht="12.75" hidden="false" customHeight="false" outlineLevel="0" collapsed="false">
      <c r="E191" s="75"/>
      <c r="F191" s="75"/>
      <c r="G191" s="75"/>
      <c r="H191" s="75"/>
      <c r="I191" s="75"/>
    </row>
    <row r="192" customFormat="false" ht="12.75" hidden="false" customHeight="false" outlineLevel="0" collapsed="false">
      <c r="B192" s="93" t="s">
        <v>431</v>
      </c>
      <c r="E192" s="75"/>
      <c r="F192" s="75"/>
      <c r="G192" s="75"/>
      <c r="H192" s="75"/>
      <c r="I192" s="75"/>
    </row>
    <row r="193" customFormat="false" ht="12.75" hidden="false" customHeight="false" outlineLevel="0" collapsed="false">
      <c r="B193" s="61" t="s">
        <v>432</v>
      </c>
      <c r="E193" s="75" t="n">
        <f aca="false">+E62</f>
        <v>0</v>
      </c>
      <c r="F193" s="75" t="n">
        <f aca="false">J62</f>
        <v>2000</v>
      </c>
      <c r="G193" s="75" t="n">
        <f aca="false">+F193-E193</f>
        <v>2000</v>
      </c>
      <c r="H193" s="76" t="n">
        <v>1</v>
      </c>
      <c r="I193" s="75" t="n">
        <f aca="false">+G193*H193</f>
        <v>2000</v>
      </c>
      <c r="J193" s="114" t="n">
        <f aca="false">+I193/$I$202</f>
        <v>-0.224641774167528</v>
      </c>
    </row>
    <row r="194" customFormat="false" ht="12.75" hidden="false" customHeight="false" outlineLevel="0" collapsed="false">
      <c r="B194" s="61" t="s">
        <v>389</v>
      </c>
      <c r="E194" s="75" t="n">
        <f aca="false">+E67</f>
        <v>12000</v>
      </c>
      <c r="F194" s="75" t="n">
        <f aca="false">+J67</f>
        <v>13771.1594388012</v>
      </c>
      <c r="G194" s="75" t="n">
        <f aca="false">+E194-F194</f>
        <v>-1771.15943880117</v>
      </c>
      <c r="H194" s="76" t="n">
        <v>1</v>
      </c>
      <c r="I194" s="75" t="n">
        <f aca="false">+G194*H194</f>
        <v>-1771.15943880117</v>
      </c>
      <c r="J194" s="114" t="n">
        <f aca="false">+I194/$I$202</f>
        <v>0.198938199332928</v>
      </c>
    </row>
    <row r="195" customFormat="false" ht="12.75" hidden="false" customHeight="false" outlineLevel="0" collapsed="false">
      <c r="B195" s="61" t="s">
        <v>433</v>
      </c>
      <c r="E195" s="75" t="n">
        <f aca="false">+E31</f>
        <v>1500</v>
      </c>
      <c r="F195" s="75" t="n">
        <f aca="false">J31</f>
        <v>3600</v>
      </c>
      <c r="G195" s="75" t="n">
        <f aca="false">+F195-E195</f>
        <v>2100</v>
      </c>
      <c r="H195" s="76" t="n">
        <f aca="false">E4</f>
        <v>6</v>
      </c>
      <c r="I195" s="75" t="n">
        <f aca="false">+G195*H195</f>
        <v>12600</v>
      </c>
      <c r="J195" s="114" t="n">
        <f aca="false">+I195/$I$202</f>
        <v>-1.41524317725543</v>
      </c>
    </row>
    <row r="196" customFormat="false" ht="12.75" hidden="false" customHeight="false" outlineLevel="0" collapsed="false">
      <c r="B196" s="61" t="s">
        <v>434</v>
      </c>
      <c r="E196" s="75" t="n">
        <f aca="false">+E3</f>
        <v>12.5</v>
      </c>
      <c r="F196" s="75" t="n">
        <f aca="false">+E4</f>
        <v>6</v>
      </c>
      <c r="G196" s="75" t="n">
        <f aca="false">+F196-E196</f>
        <v>-6.5</v>
      </c>
      <c r="H196" s="75" t="n">
        <f aca="false">+F195</f>
        <v>3600</v>
      </c>
      <c r="I196" s="75" t="n">
        <f aca="false">+G196*H196</f>
        <v>-23400</v>
      </c>
      <c r="J196" s="114" t="n">
        <f aca="false">+I196/$I$202</f>
        <v>2.62830875776008</v>
      </c>
    </row>
    <row r="197" customFormat="false" ht="12.75" hidden="false" customHeight="false" outlineLevel="0" collapsed="false">
      <c r="B197" s="81" t="s">
        <v>435</v>
      </c>
      <c r="C197" s="81"/>
      <c r="D197" s="81"/>
      <c r="E197" s="82"/>
      <c r="F197" s="82"/>
      <c r="G197" s="82"/>
      <c r="H197" s="82"/>
      <c r="I197" s="82" t="n">
        <f aca="false">SUM(I193:I196)</f>
        <v>-10571.1594388012</v>
      </c>
      <c r="J197" s="107" t="n">
        <f aca="false">SUM(J193:J196)</f>
        <v>1.18736200567005</v>
      </c>
    </row>
    <row r="198" customFormat="false" ht="12.75" hidden="false" customHeight="false" outlineLevel="0" collapsed="false">
      <c r="B198" s="61" t="s">
        <v>436</v>
      </c>
      <c r="E198" s="75"/>
      <c r="F198" s="75"/>
      <c r="G198" s="75"/>
      <c r="H198" s="75"/>
      <c r="I198" s="75" t="n">
        <f aca="false">+-J12</f>
        <v>-150</v>
      </c>
      <c r="J198" s="114" t="n">
        <f aca="false">+I198/$I$202</f>
        <v>0.0168481330625646</v>
      </c>
    </row>
    <row r="199" customFormat="false" ht="12.75" hidden="false" customHeight="false" outlineLevel="0" collapsed="false">
      <c r="B199" s="61" t="s">
        <v>437</v>
      </c>
      <c r="E199" s="75"/>
      <c r="F199" s="75"/>
      <c r="G199" s="75"/>
      <c r="H199" s="75"/>
      <c r="I199" s="75" t="n">
        <f aca="false">+-J13</f>
        <v>-240</v>
      </c>
      <c r="J199" s="114" t="n">
        <f aca="false">+I199/$I$202</f>
        <v>0.0269570129001033</v>
      </c>
    </row>
    <row r="200" customFormat="false" ht="12.75" hidden="false" customHeight="false" outlineLevel="0" collapsed="false">
      <c r="B200" s="81" t="s">
        <v>438</v>
      </c>
      <c r="C200" s="81"/>
      <c r="D200" s="81"/>
      <c r="E200" s="82"/>
      <c r="F200" s="82"/>
      <c r="G200" s="82"/>
      <c r="H200" s="82"/>
      <c r="I200" s="82" t="n">
        <f aca="false">SUM(I197:I199)</f>
        <v>-10961.1594388012</v>
      </c>
      <c r="J200" s="107" t="n">
        <f aca="false">SUM(J197:J199)</f>
        <v>1.23116715163272</v>
      </c>
    </row>
    <row r="201" customFormat="false" ht="12.75" hidden="false" customHeight="false" outlineLevel="0" collapsed="false">
      <c r="B201" s="61" t="s">
        <v>439</v>
      </c>
      <c r="E201" s="75"/>
      <c r="F201" s="75"/>
      <c r="G201" s="75"/>
      <c r="H201" s="75"/>
      <c r="I201" s="75" t="n">
        <f aca="false">+-I200*K158</f>
        <v>2058.0958505102</v>
      </c>
      <c r="J201" s="114" t="n">
        <f aca="false">+I201/$I$202</f>
        <v>-0.231167151632719</v>
      </c>
    </row>
    <row r="202" customFormat="false" ht="12.75" hidden="false" customHeight="false" outlineLevel="0" collapsed="false">
      <c r="B202" s="81" t="s">
        <v>440</v>
      </c>
      <c r="C202" s="81"/>
      <c r="D202" s="81"/>
      <c r="E202" s="82"/>
      <c r="F202" s="82"/>
      <c r="G202" s="82"/>
      <c r="H202" s="82"/>
      <c r="I202" s="82" t="n">
        <f aca="false">SUM(I200:I201)</f>
        <v>-8903.06358829097</v>
      </c>
      <c r="J202" s="107" t="n">
        <f aca="false">SUM(J200:J201)</f>
        <v>1</v>
      </c>
    </row>
    <row r="203" customFormat="false" ht="12.75" hidden="false" customHeight="false" outlineLevel="0" collapsed="false">
      <c r="E203" s="75"/>
      <c r="F203" s="75"/>
      <c r="G203" s="75"/>
      <c r="H203" s="75"/>
      <c r="I203" s="75"/>
    </row>
    <row r="204" customFormat="false" ht="12.75" hidden="false" customHeight="false" outlineLevel="0" collapsed="false">
      <c r="B204" s="61" t="s">
        <v>441</v>
      </c>
      <c r="E204" s="75"/>
      <c r="F204" s="75"/>
      <c r="G204" s="75"/>
      <c r="H204" s="75"/>
      <c r="I204" s="75" t="n">
        <f aca="false">+I190+I202</f>
        <v>-3103.68858829097</v>
      </c>
    </row>
    <row r="205" customFormat="false" ht="12.75" hidden="false" customHeight="false" outlineLevel="0" collapsed="false">
      <c r="B205" s="61" t="s">
        <v>442</v>
      </c>
      <c r="E205" s="75"/>
      <c r="F205" s="75"/>
      <c r="G205" s="75"/>
      <c r="H205" s="75"/>
      <c r="I205" s="75" t="n">
        <f aca="false">+J159</f>
        <v>7983.3518528855</v>
      </c>
    </row>
    <row r="207" s="131" customFormat="true" ht="12.75" hidden="false" customHeight="false" outlineLevel="0" collapsed="false">
      <c r="A207" s="131" t="s">
        <v>348</v>
      </c>
      <c r="B207" s="131" t="s">
        <v>443</v>
      </c>
      <c r="I207" s="132" t="n">
        <f aca="false">I204-I205</f>
        <v>-11087.0404411765</v>
      </c>
    </row>
  </sheetData>
  <mergeCells count="6">
    <mergeCell ref="B2:J2"/>
    <mergeCell ref="B10:E10"/>
    <mergeCell ref="G10:J10"/>
    <mergeCell ref="B17:E17"/>
    <mergeCell ref="D172:H172"/>
    <mergeCell ref="D180:H1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2.75" zeroHeight="false" outlineLevelRow="0" outlineLevelCol="0"/>
  <cols>
    <col collapsed="false" customWidth="true" hidden="false" outlineLevel="0" max="1" min="1" style="61" width="2.82"/>
    <col collapsed="false" customWidth="true" hidden="false" outlineLevel="0" max="2" min="2" style="61" width="11.54"/>
    <col collapsed="false" customWidth="false" hidden="false" outlineLevel="0" max="16384" min="3" style="61" width="8.73"/>
  </cols>
  <sheetData>
    <row r="1" customFormat="false" ht="16.15" hidden="false" customHeight="false" outlineLevel="0" collapsed="false">
      <c r="B1" s="62" t="s">
        <v>450</v>
      </c>
      <c r="G1" s="133" t="s">
        <v>451</v>
      </c>
    </row>
    <row r="2" customFormat="false" ht="12.75" hidden="false" customHeight="false" outlineLevel="0" collapsed="false">
      <c r="B2" s="63" t="s">
        <v>315</v>
      </c>
      <c r="C2" s="63"/>
      <c r="D2" s="63"/>
      <c r="E2" s="63"/>
      <c r="F2" s="63"/>
      <c r="G2" s="63"/>
      <c r="H2" s="63"/>
      <c r="I2" s="63"/>
      <c r="J2" s="63"/>
      <c r="L2" s="14" t="s">
        <v>316</v>
      </c>
    </row>
    <row r="3" customFormat="false" ht="137.3" hidden="false" customHeight="false" outlineLevel="0" collapsed="false">
      <c r="B3" s="61" t="s">
        <v>317</v>
      </c>
      <c r="E3" s="64" t="n">
        <v>13.81</v>
      </c>
      <c r="G3" s="61" t="s">
        <v>318</v>
      </c>
      <c r="I3" s="64" t="n">
        <v>7.061</v>
      </c>
      <c r="J3" s="65" t="n">
        <v>0.005</v>
      </c>
      <c r="L3" s="2" t="s">
        <v>452</v>
      </c>
    </row>
    <row r="4" customFormat="false" ht="85.05" hidden="false" customHeight="false" outlineLevel="0" collapsed="false">
      <c r="B4" s="61" t="s">
        <v>320</v>
      </c>
      <c r="E4" s="64" t="n">
        <v>10</v>
      </c>
      <c r="G4" s="61" t="s">
        <v>321</v>
      </c>
      <c r="I4" s="64" t="n">
        <v>0</v>
      </c>
      <c r="J4" s="65" t="n">
        <v>0</v>
      </c>
      <c r="L4" s="2" t="s">
        <v>453</v>
      </c>
    </row>
    <row r="5" customFormat="false" ht="231.3" hidden="false" customHeight="false" outlineLevel="0" collapsed="false">
      <c r="B5" s="61" t="s">
        <v>323</v>
      </c>
      <c r="E5" s="66" t="n">
        <v>637.3</v>
      </c>
      <c r="G5" s="61" t="s">
        <v>324</v>
      </c>
      <c r="I5" s="67" t="n">
        <v>365</v>
      </c>
      <c r="L5" s="2" t="s">
        <v>325</v>
      </c>
    </row>
    <row r="6" customFormat="false" ht="179.1" hidden="false" customHeight="false" outlineLevel="0" collapsed="false">
      <c r="B6" s="61" t="s">
        <v>326</v>
      </c>
      <c r="E6" s="68" t="n">
        <v>10</v>
      </c>
      <c r="G6" s="61" t="s">
        <v>327</v>
      </c>
      <c r="I6" s="69" t="n">
        <v>0.3</v>
      </c>
      <c r="L6" s="2" t="s">
        <v>328</v>
      </c>
    </row>
    <row r="7" customFormat="false" ht="408.2" hidden="false" customHeight="false" outlineLevel="0" collapsed="false">
      <c r="B7" s="61" t="s">
        <v>329</v>
      </c>
      <c r="E7" s="68" t="n">
        <v>15</v>
      </c>
      <c r="L7" s="2" t="s">
        <v>330</v>
      </c>
    </row>
    <row r="8" customFormat="false" ht="179.1" hidden="false" customHeight="false" outlineLevel="0" collapsed="false">
      <c r="B8" s="61" t="s">
        <v>331</v>
      </c>
      <c r="E8" s="70" t="n">
        <v>0</v>
      </c>
      <c r="G8" s="71" t="s">
        <v>332</v>
      </c>
      <c r="H8" s="72"/>
      <c r="I8" s="73" t="n">
        <v>1</v>
      </c>
      <c r="J8" s="74" t="s">
        <v>333</v>
      </c>
      <c r="L8" s="2" t="s">
        <v>334</v>
      </c>
    </row>
    <row r="10" customFormat="false" ht="12.75" hidden="false" customHeight="false" outlineLevel="0" collapsed="false">
      <c r="B10" s="63" t="s">
        <v>79</v>
      </c>
      <c r="C10" s="63"/>
      <c r="D10" s="63"/>
      <c r="E10" s="63"/>
      <c r="G10" s="63" t="s">
        <v>80</v>
      </c>
      <c r="H10" s="63"/>
      <c r="I10" s="63"/>
      <c r="J10" s="63"/>
    </row>
    <row r="11" customFormat="false" ht="12.75" hidden="false" customHeight="false" outlineLevel="0" collapsed="false">
      <c r="B11" s="61" t="s">
        <v>335</v>
      </c>
      <c r="E11" s="75" t="n">
        <f aca="false">+I3*$E$5</f>
        <v>4499.9753</v>
      </c>
      <c r="G11" s="61" t="s">
        <v>336</v>
      </c>
      <c r="J11" s="75" t="n">
        <f aca="false">+E18</f>
        <v>8801.113</v>
      </c>
    </row>
    <row r="12" customFormat="false" ht="12.75" hidden="false" customHeight="false" outlineLevel="0" collapsed="false">
      <c r="B12" s="61" t="s">
        <v>337</v>
      </c>
      <c r="E12" s="75" t="n">
        <f aca="false">+I4*$E$5</f>
        <v>0</v>
      </c>
      <c r="G12" s="61" t="s">
        <v>338</v>
      </c>
      <c r="J12" s="66" t="n">
        <v>60</v>
      </c>
    </row>
    <row r="13" customFormat="false" ht="12.75" hidden="false" customHeight="false" outlineLevel="0" collapsed="false">
      <c r="B13" s="61" t="s">
        <v>339</v>
      </c>
      <c r="E13" s="75" t="n">
        <f aca="false">+E18*E8</f>
        <v>0</v>
      </c>
      <c r="G13" s="61" t="s">
        <v>340</v>
      </c>
      <c r="J13" s="76" t="n">
        <f aca="false">+J3*E11+J4*E12</f>
        <v>22.4998765</v>
      </c>
    </row>
    <row r="14" customFormat="false" ht="12.75" hidden="false" customHeight="false" outlineLevel="0" collapsed="false">
      <c r="B14" s="61" t="s">
        <v>341</v>
      </c>
      <c r="E14" s="75" t="n">
        <f aca="false">E15-SUM(E11:E13)</f>
        <v>4383.6375765</v>
      </c>
      <c r="J14" s="75"/>
    </row>
    <row r="15" customFormat="false" ht="12.75" hidden="false" customHeight="false" outlineLevel="0" collapsed="false">
      <c r="B15" s="77" t="s">
        <v>92</v>
      </c>
      <c r="C15" s="77"/>
      <c r="D15" s="77"/>
      <c r="E15" s="78" t="n">
        <f aca="false">J15</f>
        <v>8883.6128765</v>
      </c>
      <c r="G15" s="77" t="s">
        <v>93</v>
      </c>
      <c r="H15" s="77"/>
      <c r="I15" s="77"/>
      <c r="J15" s="78" t="n">
        <f aca="false">SUM(J11:J14)</f>
        <v>8883.6128765</v>
      </c>
    </row>
    <row r="17" customFormat="false" ht="12.75" hidden="false" customHeight="false" outlineLevel="0" collapsed="false">
      <c r="B17" s="63" t="s">
        <v>342</v>
      </c>
      <c r="C17" s="63"/>
      <c r="D17" s="63"/>
      <c r="E17" s="63"/>
      <c r="G17" s="79"/>
    </row>
    <row r="18" customFormat="false" ht="12.75" hidden="false" customHeight="false" outlineLevel="0" collapsed="false">
      <c r="B18" s="61" t="s">
        <v>85</v>
      </c>
      <c r="E18" s="75" t="n">
        <f aca="false">+E3*E5</f>
        <v>8801.113</v>
      </c>
      <c r="G18" s="80"/>
    </row>
    <row r="19" customFormat="false" ht="12.75" hidden="false" customHeight="false" outlineLevel="0" collapsed="false">
      <c r="B19" s="61" t="s">
        <v>343</v>
      </c>
      <c r="E19" s="66" t="n">
        <v>-1500</v>
      </c>
      <c r="G19" s="79"/>
    </row>
    <row r="20" customFormat="false" ht="12.75" hidden="false" customHeight="false" outlineLevel="0" collapsed="false">
      <c r="B20" s="81" t="s">
        <v>344</v>
      </c>
      <c r="C20" s="81"/>
      <c r="D20" s="81"/>
      <c r="E20" s="82" t="n">
        <f aca="false">SUM(E18:E19)</f>
        <v>7301.113</v>
      </c>
      <c r="G20" s="79"/>
    </row>
    <row r="21" customFormat="false" ht="12.75" hidden="false" customHeight="false" outlineLevel="0" collapsed="false">
      <c r="B21" s="61" t="s">
        <v>345</v>
      </c>
      <c r="D21" s="69" t="n">
        <v>0.1</v>
      </c>
      <c r="E21" s="75" t="n">
        <f aca="false">+-E20*D21</f>
        <v>-730.1113</v>
      </c>
      <c r="G21" s="79"/>
    </row>
    <row r="22" customFormat="false" ht="12.75" hidden="false" customHeight="false" outlineLevel="0" collapsed="false">
      <c r="B22" s="61" t="s">
        <v>346</v>
      </c>
      <c r="D22" s="69" t="n">
        <v>0.3</v>
      </c>
      <c r="E22" s="75" t="n">
        <f aca="false">+-E21*D22</f>
        <v>219.03339</v>
      </c>
      <c r="G22" s="79"/>
    </row>
    <row r="23" customFormat="false" ht="12.75" hidden="false" customHeight="false" outlineLevel="0" collapsed="false">
      <c r="B23" s="83" t="s">
        <v>347</v>
      </c>
      <c r="C23" s="83"/>
      <c r="D23" s="83"/>
      <c r="E23" s="84" t="n">
        <f aca="false">SUM(E20:E22)</f>
        <v>6790.03509</v>
      </c>
    </row>
    <row r="25" customFormat="false" ht="12.75" hidden="false" customHeight="false" outlineLevel="0" collapsed="false">
      <c r="A25" s="61" t="s">
        <v>348</v>
      </c>
      <c r="B25" s="85" t="s">
        <v>349</v>
      </c>
      <c r="C25" s="85"/>
      <c r="D25" s="85"/>
      <c r="E25" s="85" t="n">
        <v>2010</v>
      </c>
      <c r="F25" s="85" t="n">
        <f aca="false">E25+1</f>
        <v>2011</v>
      </c>
      <c r="G25" s="85" t="n">
        <f aca="false">F25+1</f>
        <v>2012</v>
      </c>
      <c r="H25" s="85" t="n">
        <f aca="false">G25+1</f>
        <v>2013</v>
      </c>
      <c r="I25" s="85" t="n">
        <f aca="false">H25+1</f>
        <v>2014</v>
      </c>
      <c r="J25" s="85" t="n">
        <f aca="false">I25+1</f>
        <v>2015</v>
      </c>
    </row>
    <row r="26" customFormat="false" ht="12.75" hidden="false" customHeight="false" outlineLevel="0" collapsed="false">
      <c r="B26" s="86" t="s">
        <v>117</v>
      </c>
      <c r="C26" s="86"/>
      <c r="D26" s="86"/>
      <c r="E26" s="84" t="n">
        <f aca="false">+E31/E32</f>
        <v>3650.05727376861</v>
      </c>
      <c r="F26" s="84" t="n">
        <f aca="false">+E26*(1+F27)</f>
        <v>4015.06300114548</v>
      </c>
      <c r="G26" s="84" t="n">
        <f aca="false">+F26*(1+G27)</f>
        <v>4416.56930126002</v>
      </c>
      <c r="H26" s="84" t="n">
        <f aca="false">+G26*(1+H27)</f>
        <v>4858.22623138603</v>
      </c>
      <c r="I26" s="84" t="n">
        <f aca="false">+H26*(1+I27)</f>
        <v>5344.04885452463</v>
      </c>
      <c r="J26" s="84" t="n">
        <f aca="false">+I26*(1+J27)</f>
        <v>5878.45373997709</v>
      </c>
    </row>
    <row r="27" customFormat="false" ht="12.75" hidden="false" customHeight="false" outlineLevel="0" collapsed="false">
      <c r="B27" s="87" t="s">
        <v>350</v>
      </c>
      <c r="F27" s="69" t="n">
        <v>0.1</v>
      </c>
      <c r="G27" s="88" t="n">
        <f aca="false">+F27</f>
        <v>0.1</v>
      </c>
      <c r="H27" s="88" t="n">
        <f aca="false">+G27</f>
        <v>0.1</v>
      </c>
      <c r="I27" s="88" t="n">
        <f aca="false">+H27</f>
        <v>0.1</v>
      </c>
      <c r="J27" s="88" t="n">
        <f aca="false">+I27</f>
        <v>0.1</v>
      </c>
    </row>
    <row r="28" customFormat="false" ht="12.75" hidden="false" customHeight="false" outlineLevel="0" collapsed="false">
      <c r="B28" s="61" t="s">
        <v>351</v>
      </c>
      <c r="E28" s="75" t="n">
        <f aca="false">E29-E26</f>
        <v>-2555.04009163803</v>
      </c>
      <c r="F28" s="75" t="n">
        <f aca="false">F29-F26</f>
        <v>-2810.54410080183</v>
      </c>
      <c r="G28" s="75" t="n">
        <f aca="false">G29-G26</f>
        <v>-3091.59851088202</v>
      </c>
      <c r="H28" s="75" t="n">
        <f aca="false">H29-H26</f>
        <v>-3400.75836197022</v>
      </c>
      <c r="I28" s="75" t="n">
        <f aca="false">I29-I26</f>
        <v>-3740.83419816724</v>
      </c>
      <c r="J28" s="75" t="n">
        <f aca="false">J29-J26</f>
        <v>-4114.91761798397</v>
      </c>
    </row>
    <row r="29" customFormat="false" ht="12.75" hidden="false" customHeight="false" outlineLevel="0" collapsed="false">
      <c r="B29" s="83" t="s">
        <v>352</v>
      </c>
      <c r="C29" s="83"/>
      <c r="D29" s="83"/>
      <c r="E29" s="84" t="n">
        <f aca="false">+E26*E30</f>
        <v>1095.01718213058</v>
      </c>
      <c r="F29" s="84" t="n">
        <f aca="false">+F26*F30</f>
        <v>1204.51890034364</v>
      </c>
      <c r="G29" s="84" t="n">
        <f aca="false">+G26*G30</f>
        <v>1324.97079037801</v>
      </c>
      <c r="H29" s="84" t="n">
        <f aca="false">+H26*H30</f>
        <v>1457.46786941581</v>
      </c>
      <c r="I29" s="84" t="n">
        <f aca="false">+I26*I30</f>
        <v>1603.21465635739</v>
      </c>
      <c r="J29" s="84" t="n">
        <f aca="false">+J26*J30</f>
        <v>1763.53612199313</v>
      </c>
    </row>
    <row r="30" customFormat="false" ht="12.75" hidden="false" customHeight="false" outlineLevel="0" collapsed="false">
      <c r="B30" s="87" t="s">
        <v>353</v>
      </c>
      <c r="E30" s="69" t="n">
        <v>0.3</v>
      </c>
      <c r="F30" s="88" t="n">
        <f aca="false">+E30</f>
        <v>0.3</v>
      </c>
      <c r="G30" s="88" t="n">
        <f aca="false">+F30</f>
        <v>0.3</v>
      </c>
      <c r="H30" s="88" t="n">
        <f aca="false">+G30</f>
        <v>0.3</v>
      </c>
      <c r="I30" s="88" t="n">
        <f aca="false">+H30</f>
        <v>0.3</v>
      </c>
      <c r="J30" s="88" t="n">
        <f aca="false">+I30</f>
        <v>0.3</v>
      </c>
    </row>
    <row r="31" customFormat="false" ht="12.75" hidden="false" customHeight="false" outlineLevel="0" collapsed="false">
      <c r="B31" s="86" t="s">
        <v>125</v>
      </c>
      <c r="C31" s="86"/>
      <c r="D31" s="86"/>
      <c r="E31" s="89" t="n">
        <f aca="false">+E5</f>
        <v>637.3</v>
      </c>
      <c r="F31" s="89" t="n">
        <f aca="false">+F26*F32</f>
        <v>762.86197021764</v>
      </c>
      <c r="G31" s="89" t="n">
        <f aca="false">+G26*G32</f>
        <v>927.479553264605</v>
      </c>
      <c r="H31" s="89" t="n">
        <f aca="false">+H26*H32</f>
        <v>1117.39203321879</v>
      </c>
      <c r="I31" s="89" t="n">
        <f aca="false">+I26*I32</f>
        <v>1336.01221363116</v>
      </c>
      <c r="J31" s="89" t="n">
        <f aca="false">+J26*J32</f>
        <v>1528.39797239404</v>
      </c>
    </row>
    <row r="32" customFormat="false" ht="12.75" hidden="false" customHeight="false" outlineLevel="0" collapsed="false">
      <c r="B32" s="90" t="s">
        <v>354</v>
      </c>
      <c r="E32" s="69" t="n">
        <v>0.1746</v>
      </c>
      <c r="F32" s="69" t="n">
        <v>0.19</v>
      </c>
      <c r="G32" s="69" t="n">
        <v>0.21</v>
      </c>
      <c r="H32" s="69" t="n">
        <v>0.23</v>
      </c>
      <c r="I32" s="69" t="n">
        <v>0.25</v>
      </c>
      <c r="J32" s="69" t="n">
        <v>0.26</v>
      </c>
    </row>
    <row r="33" customFormat="false" ht="12.75" hidden="false" customHeight="false" outlineLevel="0" collapsed="false">
      <c r="B33" s="61" t="s">
        <v>136</v>
      </c>
      <c r="F33" s="75" t="n">
        <f aca="false">+-F26*F46+F42</f>
        <v>-159.489825498282</v>
      </c>
      <c r="G33" s="75" t="n">
        <f aca="false">+-G26*G46+G42</f>
        <v>-170.571399381443</v>
      </c>
      <c r="H33" s="75" t="n">
        <f aca="false">+-H26*H46+H42</f>
        <v>-182.761130652921</v>
      </c>
      <c r="I33" s="75" t="n">
        <f aca="false">+-I26*I46+I42</f>
        <v>-196.169835051546</v>
      </c>
      <c r="J33" s="75" t="n">
        <f aca="false">+-J26*J46+J42</f>
        <v>-210.919409890034</v>
      </c>
    </row>
    <row r="34" customFormat="false" ht="12.75" hidden="false" customHeight="false" outlineLevel="0" collapsed="false">
      <c r="B34" s="83" t="s">
        <v>137</v>
      </c>
      <c r="C34" s="83"/>
      <c r="D34" s="83"/>
      <c r="E34" s="83"/>
      <c r="F34" s="84" t="n">
        <f aca="false">+F31+F33</f>
        <v>603.372144719359</v>
      </c>
      <c r="G34" s="84" t="n">
        <f aca="false">+G31+G33</f>
        <v>756.908153883162</v>
      </c>
      <c r="H34" s="84" t="n">
        <f aca="false">+H31+H33</f>
        <v>934.630902565865</v>
      </c>
      <c r="I34" s="84" t="n">
        <f aca="false">+I31+I33</f>
        <v>1139.84237857961</v>
      </c>
      <c r="J34" s="84" t="n">
        <f aca="false">+J31+J33</f>
        <v>1317.47856250401</v>
      </c>
    </row>
    <row r="35" customFormat="false" ht="12.75" hidden="false" customHeight="false" outlineLevel="0" collapsed="false">
      <c r="B35" s="61" t="s">
        <v>355</v>
      </c>
      <c r="F35" s="91" t="n">
        <f aca="false">+$I$8*F150</f>
        <v>-129.14929111</v>
      </c>
      <c r="G35" s="91" t="n">
        <f aca="false">+$I$8*G150</f>
        <v>-129.482987632802</v>
      </c>
      <c r="H35" s="91" t="n">
        <f aca="false">+$I$8*H150</f>
        <v>-121.182889672089</v>
      </c>
      <c r="I35" s="91" t="n">
        <f aca="false">+$I$8*I150</f>
        <v>-109.617594298998</v>
      </c>
      <c r="J35" s="91" t="n">
        <f aca="false">+$I$8*J150</f>
        <v>-94.1389879600863</v>
      </c>
    </row>
    <row r="36" customFormat="false" ht="12.75" hidden="false" customHeight="false" outlineLevel="0" collapsed="false">
      <c r="B36" s="61" t="s">
        <v>356</v>
      </c>
      <c r="F36" s="91" t="n">
        <f aca="false">+$I$8*F148</f>
        <v>0</v>
      </c>
      <c r="G36" s="91" t="n">
        <f aca="false">+$I$8*G148</f>
        <v>2</v>
      </c>
      <c r="H36" s="91" t="n">
        <f aca="false">+$I$8*H148</f>
        <v>2</v>
      </c>
      <c r="I36" s="91" t="n">
        <f aca="false">+$I$8*I148</f>
        <v>2</v>
      </c>
      <c r="J36" s="91" t="n">
        <f aca="false">+$I$8*J148</f>
        <v>2</v>
      </c>
    </row>
    <row r="37" customFormat="false" ht="12.75" hidden="false" customHeight="false" outlineLevel="0" collapsed="false">
      <c r="B37" s="61" t="s">
        <v>357</v>
      </c>
      <c r="F37" s="75" t="n">
        <f aca="false">+-$J$13/$E$6</f>
        <v>-2.24998765</v>
      </c>
      <c r="G37" s="75" t="n">
        <f aca="false">+-$J$13/$E$6</f>
        <v>-2.24998765</v>
      </c>
      <c r="H37" s="75" t="n">
        <f aca="false">+-$J$13/$E$6</f>
        <v>-2.24998765</v>
      </c>
      <c r="I37" s="75" t="n">
        <f aca="false">+-$J$13/$E$6</f>
        <v>-2.24998765</v>
      </c>
      <c r="J37" s="75" t="n">
        <f aca="false">+-$J$13/$E$6</f>
        <v>-2.24998765</v>
      </c>
    </row>
    <row r="38" customFormat="false" ht="12.75" hidden="false" customHeight="false" outlineLevel="0" collapsed="false">
      <c r="B38" s="83" t="s">
        <v>139</v>
      </c>
      <c r="C38" s="83"/>
      <c r="D38" s="83"/>
      <c r="E38" s="83"/>
      <c r="F38" s="84" t="n">
        <f aca="false">SUM(F34:F37)</f>
        <v>471.972865959359</v>
      </c>
      <c r="G38" s="84" t="n">
        <f aca="false">SUM(G34:G37)</f>
        <v>627.17517860036</v>
      </c>
      <c r="H38" s="84" t="n">
        <f aca="false">SUM(H34:H37)</f>
        <v>813.198025243776</v>
      </c>
      <c r="I38" s="84" t="n">
        <f aca="false">SUM(I34:I37)</f>
        <v>1029.97479663061</v>
      </c>
      <c r="J38" s="84" t="n">
        <f aca="false">SUM(J34:J37)</f>
        <v>1223.08958689392</v>
      </c>
    </row>
    <row r="39" customFormat="false" ht="12.75" hidden="false" customHeight="false" outlineLevel="0" collapsed="false">
      <c r="B39" s="61" t="s">
        <v>140</v>
      </c>
      <c r="F39" s="75" t="n">
        <f aca="false">+-F38*$I$6</f>
        <v>-141.591859787808</v>
      </c>
      <c r="G39" s="75" t="n">
        <f aca="false">+-G38*$I$6</f>
        <v>-188.152553580108</v>
      </c>
      <c r="H39" s="75" t="n">
        <f aca="false">+-H38*$I$6</f>
        <v>-243.959407573133</v>
      </c>
      <c r="I39" s="75" t="n">
        <f aca="false">+-I38*$I$6</f>
        <v>-308.992438989184</v>
      </c>
      <c r="J39" s="75" t="n">
        <f aca="false">+-J38*$I$6</f>
        <v>-366.926876068177</v>
      </c>
    </row>
    <row r="40" customFormat="false" ht="12.75" hidden="false" customHeight="false" outlineLevel="0" collapsed="false">
      <c r="B40" s="83" t="s">
        <v>141</v>
      </c>
      <c r="C40" s="83"/>
      <c r="D40" s="83"/>
      <c r="E40" s="83"/>
      <c r="F40" s="84" t="n">
        <f aca="false">SUM(F38:F39)</f>
        <v>330.381006171551</v>
      </c>
      <c r="G40" s="84" t="n">
        <f aca="false">SUM(G38:G39)</f>
        <v>439.022625020252</v>
      </c>
      <c r="H40" s="84" t="n">
        <f aca="false">SUM(H38:H39)</f>
        <v>569.238617670643</v>
      </c>
      <c r="I40" s="84" t="n">
        <f aca="false">SUM(I38:I39)</f>
        <v>720.982357641429</v>
      </c>
      <c r="J40" s="84" t="n">
        <f aca="false">SUM(J38:J39)</f>
        <v>856.162710825746</v>
      </c>
    </row>
    <row r="41" customFormat="false" ht="12.75" hidden="false" customHeight="false" outlineLevel="0" collapsed="false">
      <c r="F41" s="75"/>
      <c r="G41" s="75"/>
      <c r="H41" s="75"/>
      <c r="I41" s="75"/>
      <c r="J41" s="75"/>
    </row>
    <row r="42" customFormat="false" ht="12.75" hidden="false" customHeight="false" outlineLevel="0" collapsed="false">
      <c r="B42" s="61" t="s">
        <v>358</v>
      </c>
      <c r="F42" s="75" t="n">
        <f aca="false">+$E$21/$E$7</f>
        <v>-48.6740866666667</v>
      </c>
      <c r="G42" s="75" t="n">
        <f aca="false">+$E$21/$E$7</f>
        <v>-48.6740866666667</v>
      </c>
      <c r="H42" s="75" t="n">
        <f aca="false">+$E$21/$E$7</f>
        <v>-48.6740866666667</v>
      </c>
      <c r="I42" s="75" t="n">
        <f aca="false">+$E$21/$E$7</f>
        <v>-48.6740866666667</v>
      </c>
      <c r="J42" s="75" t="n">
        <f aca="false">+$E$21/$E$7</f>
        <v>-48.6740866666667</v>
      </c>
    </row>
    <row r="43" customFormat="false" ht="12.75" hidden="false" customHeight="false" outlineLevel="0" collapsed="false">
      <c r="B43" s="61" t="s">
        <v>346</v>
      </c>
      <c r="F43" s="75" t="n">
        <f aca="false">+F42*$D$22</f>
        <v>-14.602226</v>
      </c>
      <c r="G43" s="75" t="n">
        <f aca="false">+G42*$D$22</f>
        <v>-14.602226</v>
      </c>
      <c r="H43" s="75" t="n">
        <f aca="false">+H42*$D$22</f>
        <v>-14.602226</v>
      </c>
      <c r="I43" s="75" t="n">
        <f aca="false">+I42*$D$22</f>
        <v>-14.602226</v>
      </c>
      <c r="J43" s="75" t="n">
        <f aca="false">+J42*$D$22</f>
        <v>-14.602226</v>
      </c>
    </row>
    <row r="44" customFormat="false" ht="12.75" hidden="false" customHeight="false" outlineLevel="0" collapsed="false">
      <c r="B44" s="61" t="s">
        <v>359</v>
      </c>
      <c r="F44" s="75" t="n">
        <f aca="false">-F47*F33</f>
        <v>159.489825498282</v>
      </c>
      <c r="G44" s="75" t="n">
        <f aca="false">-G47*G33</f>
        <v>170.571399381443</v>
      </c>
      <c r="H44" s="75" t="n">
        <f aca="false">-H47*H33</f>
        <v>182.761130652921</v>
      </c>
      <c r="I44" s="75" t="n">
        <f aca="false">-I47*I33</f>
        <v>196.169835051546</v>
      </c>
      <c r="J44" s="75" t="n">
        <f aca="false">-J47*J33</f>
        <v>210.919409890034</v>
      </c>
    </row>
    <row r="46" customFormat="false" ht="12.75" hidden="false" customHeight="false" outlineLevel="0" collapsed="false">
      <c r="B46" s="61" t="s">
        <v>360</v>
      </c>
      <c r="F46" s="69" t="n">
        <v>0.0276</v>
      </c>
      <c r="G46" s="92" t="n">
        <f aca="false">+F46</f>
        <v>0.0276</v>
      </c>
      <c r="H46" s="92" t="n">
        <f aca="false">+G46</f>
        <v>0.0276</v>
      </c>
      <c r="I46" s="92" t="n">
        <f aca="false">+H46</f>
        <v>0.0276</v>
      </c>
      <c r="J46" s="92" t="n">
        <f aca="false">+I46</f>
        <v>0.0276</v>
      </c>
    </row>
    <row r="47" customFormat="false" ht="12.75" hidden="false" customHeight="false" outlineLevel="0" collapsed="false">
      <c r="B47" s="61" t="s">
        <v>361</v>
      </c>
      <c r="F47" s="69" t="n">
        <v>1</v>
      </c>
      <c r="G47" s="92" t="n">
        <f aca="false">+F47</f>
        <v>1</v>
      </c>
      <c r="H47" s="92" t="n">
        <f aca="false">+G47</f>
        <v>1</v>
      </c>
      <c r="I47" s="92" t="n">
        <f aca="false">+H47</f>
        <v>1</v>
      </c>
      <c r="J47" s="92" t="n">
        <f aca="false">+I47</f>
        <v>1</v>
      </c>
    </row>
    <row r="49" customFormat="false" ht="12.75" hidden="false" customHeight="false" outlineLevel="0" collapsed="false">
      <c r="A49" s="61" t="s">
        <v>348</v>
      </c>
      <c r="B49" s="85" t="s">
        <v>362</v>
      </c>
      <c r="C49" s="85"/>
      <c r="D49" s="85"/>
      <c r="E49" s="85" t="n">
        <v>2013</v>
      </c>
      <c r="F49" s="85" t="n">
        <f aca="false">E49+1</f>
        <v>2014</v>
      </c>
      <c r="G49" s="85" t="n">
        <f aca="false">F49+1</f>
        <v>2015</v>
      </c>
      <c r="H49" s="85" t="n">
        <f aca="false">G49+1</f>
        <v>2016</v>
      </c>
      <c r="I49" s="85" t="n">
        <f aca="false">H49+1</f>
        <v>2017</v>
      </c>
      <c r="J49" s="85" t="n">
        <f aca="false">I49+1</f>
        <v>2018</v>
      </c>
    </row>
    <row r="50" customFormat="false" ht="12.75" hidden="false" customHeight="false" outlineLevel="0" collapsed="false">
      <c r="B50" s="61" t="s">
        <v>363</v>
      </c>
      <c r="E50" s="75" t="n">
        <f aca="false">+E26*E57/$I$5</f>
        <v>600.009414866073</v>
      </c>
      <c r="F50" s="75" t="n">
        <f aca="false">+F26*F57/$I$5</f>
        <v>660.010356352681</v>
      </c>
      <c r="G50" s="75" t="n">
        <f aca="false">+G26*G57/$I$5</f>
        <v>726.011391987949</v>
      </c>
      <c r="H50" s="75" t="n">
        <f aca="false">+H26*H57/$I$5</f>
        <v>798.612531186744</v>
      </c>
      <c r="I50" s="75" t="n">
        <f aca="false">+I26*I57/$I$5</f>
        <v>878.473784305419</v>
      </c>
      <c r="J50" s="75" t="n">
        <f aca="false">+J26*J57/$I$5</f>
        <v>966.321162735961</v>
      </c>
    </row>
    <row r="51" customFormat="false" ht="12.75" hidden="false" customHeight="false" outlineLevel="0" collapsed="false">
      <c r="B51" s="61" t="s">
        <v>364</v>
      </c>
      <c r="E51" s="75" t="n">
        <f aca="false">-E28/E58</f>
        <v>1022.01603665521</v>
      </c>
      <c r="F51" s="75" t="n">
        <f aca="false">-F28/F58</f>
        <v>1124.21764032073</v>
      </c>
      <c r="G51" s="75" t="n">
        <f aca="false">-G28/G58</f>
        <v>1236.63940435281</v>
      </c>
      <c r="H51" s="75" t="n">
        <f aca="false">-H28/H58</f>
        <v>1360.30334478809</v>
      </c>
      <c r="I51" s="75" t="n">
        <f aca="false">-I28/I58</f>
        <v>1496.3336792669</v>
      </c>
      <c r="J51" s="75" t="n">
        <f aca="false">-J28/J58</f>
        <v>1645.96704719359</v>
      </c>
    </row>
    <row r="52" customFormat="false" ht="12.75" hidden="false" customHeight="false" outlineLevel="0" collapsed="false">
      <c r="B52" s="61" t="s">
        <v>365</v>
      </c>
      <c r="E52" s="75" t="n">
        <f aca="false">-E28*E59/$I$5</f>
        <v>350.00549200521</v>
      </c>
      <c r="F52" s="75" t="n">
        <f aca="false">-F28*F59/$I$5</f>
        <v>385.00604120573</v>
      </c>
      <c r="G52" s="75" t="n">
        <f aca="false">-G28*G59/$I$5</f>
        <v>423.506645326304</v>
      </c>
      <c r="H52" s="75" t="n">
        <f aca="false">-H28*H59/$I$5</f>
        <v>465.857309858934</v>
      </c>
      <c r="I52" s="75" t="n">
        <f aca="false">-I28*I59/$I$5</f>
        <v>512.443040844828</v>
      </c>
      <c r="J52" s="75" t="n">
        <f aca="false">-J28*J59/$I$5</f>
        <v>563.68734492931</v>
      </c>
    </row>
    <row r="53" customFormat="false" ht="12.75" hidden="false" customHeight="false" outlineLevel="0" collapsed="false">
      <c r="B53" s="81" t="s">
        <v>366</v>
      </c>
      <c r="C53" s="81"/>
      <c r="D53" s="81"/>
      <c r="E53" s="82" t="n">
        <f aca="false">+E50+E51-E52</f>
        <v>1272.01995951608</v>
      </c>
      <c r="F53" s="82" t="n">
        <f aca="false">+F50+F51-F52</f>
        <v>1399.22195546768</v>
      </c>
      <c r="G53" s="82" t="n">
        <f aca="false">+G50+G51-G52</f>
        <v>1539.14415101445</v>
      </c>
      <c r="H53" s="82" t="n">
        <f aca="false">+H50+H51-H52</f>
        <v>1693.0585661159</v>
      </c>
      <c r="I53" s="82" t="n">
        <f aca="false">+I50+I51-I52</f>
        <v>1862.36442272749</v>
      </c>
      <c r="J53" s="82" t="n">
        <f aca="false">+J50+J51-J52</f>
        <v>2048.60086500024</v>
      </c>
    </row>
    <row r="54" customFormat="false" ht="12.75" hidden="false" customHeight="false" outlineLevel="0" collapsed="false">
      <c r="B54" s="61" t="s">
        <v>367</v>
      </c>
      <c r="E54" s="75"/>
      <c r="F54" s="75" t="n">
        <f aca="false">+F53-E53</f>
        <v>127.201995951608</v>
      </c>
      <c r="G54" s="75" t="n">
        <f aca="false">+G53-F53</f>
        <v>139.922195546769</v>
      </c>
      <c r="H54" s="75" t="n">
        <f aca="false">+H53-G53</f>
        <v>153.914415101445</v>
      </c>
      <c r="I54" s="75" t="n">
        <f aca="false">+I53-H53</f>
        <v>169.30585661159</v>
      </c>
      <c r="J54" s="75" t="n">
        <f aca="false">+J53-I53</f>
        <v>186.236442272749</v>
      </c>
    </row>
    <row r="56" customFormat="false" ht="12.75" hidden="false" customHeight="false" outlineLevel="0" collapsed="false">
      <c r="B56" s="93" t="s">
        <v>368</v>
      </c>
    </row>
    <row r="57" customFormat="false" ht="12.75" hidden="false" customHeight="false" outlineLevel="0" collapsed="false">
      <c r="B57" s="61" t="s">
        <v>363</v>
      </c>
      <c r="E57" s="94" t="n">
        <v>60</v>
      </c>
      <c r="F57" s="95" t="n">
        <f aca="false">+E57</f>
        <v>60</v>
      </c>
      <c r="G57" s="95" t="n">
        <f aca="false">+F57</f>
        <v>60</v>
      </c>
      <c r="H57" s="95" t="n">
        <f aca="false">+G57</f>
        <v>60</v>
      </c>
      <c r="I57" s="95" t="n">
        <f aca="false">+H57</f>
        <v>60</v>
      </c>
      <c r="J57" s="95" t="n">
        <f aca="false">+I57</f>
        <v>60</v>
      </c>
    </row>
    <row r="58" customFormat="false" ht="12.75" hidden="false" customHeight="false" outlineLevel="0" collapsed="false">
      <c r="B58" s="61" t="s">
        <v>364</v>
      </c>
      <c r="E58" s="64" t="n">
        <v>2.5</v>
      </c>
      <c r="F58" s="96" t="n">
        <f aca="false">+E58</f>
        <v>2.5</v>
      </c>
      <c r="G58" s="96" t="n">
        <f aca="false">+F58</f>
        <v>2.5</v>
      </c>
      <c r="H58" s="96" t="n">
        <f aca="false">+G58</f>
        <v>2.5</v>
      </c>
      <c r="I58" s="96" t="n">
        <f aca="false">+H58</f>
        <v>2.5</v>
      </c>
      <c r="J58" s="96" t="n">
        <f aca="false">+I58</f>
        <v>2.5</v>
      </c>
    </row>
    <row r="59" customFormat="false" ht="12.75" hidden="false" customHeight="false" outlineLevel="0" collapsed="false">
      <c r="B59" s="61" t="s">
        <v>365</v>
      </c>
      <c r="E59" s="94" t="n">
        <v>50</v>
      </c>
      <c r="F59" s="95" t="n">
        <f aca="false">+E59</f>
        <v>50</v>
      </c>
      <c r="G59" s="95" t="n">
        <f aca="false">+F59</f>
        <v>50</v>
      </c>
      <c r="H59" s="95" t="n">
        <f aca="false">+G59</f>
        <v>50</v>
      </c>
      <c r="I59" s="95" t="n">
        <f aca="false">+H59</f>
        <v>50</v>
      </c>
      <c r="J59" s="95" t="n">
        <f aca="false">+I59</f>
        <v>50</v>
      </c>
    </row>
    <row r="61" customFormat="false" ht="12.75" hidden="false" customHeight="false" outlineLevel="0" collapsed="false">
      <c r="A61" s="61" t="s">
        <v>348</v>
      </c>
      <c r="B61" s="85" t="s">
        <v>369</v>
      </c>
      <c r="C61" s="85"/>
      <c r="D61" s="85"/>
      <c r="E61" s="85" t="n">
        <v>2013</v>
      </c>
      <c r="F61" s="85" t="n">
        <f aca="false">E61+1</f>
        <v>2014</v>
      </c>
      <c r="G61" s="85" t="n">
        <f aca="false">F61+1</f>
        <v>2015</v>
      </c>
      <c r="H61" s="85" t="n">
        <f aca="false">G61+1</f>
        <v>2016</v>
      </c>
      <c r="I61" s="85" t="n">
        <f aca="false">H61+1</f>
        <v>2017</v>
      </c>
      <c r="J61" s="85" t="n">
        <f aca="false">I61+1</f>
        <v>2018</v>
      </c>
    </row>
    <row r="62" customFormat="false" ht="12.75" hidden="false" customHeight="false" outlineLevel="0" collapsed="false">
      <c r="B62" s="61" t="s">
        <v>370</v>
      </c>
      <c r="E62" s="97" t="n">
        <v>0</v>
      </c>
      <c r="F62" s="76" t="n">
        <f aca="false">+E62+F92</f>
        <v>200</v>
      </c>
      <c r="G62" s="76" t="n">
        <f aca="false">+F62+G92</f>
        <v>200</v>
      </c>
      <c r="H62" s="76" t="n">
        <f aca="false">+G62+H92</f>
        <v>200</v>
      </c>
      <c r="I62" s="76" t="n">
        <f aca="false">+H62+I92</f>
        <v>200</v>
      </c>
      <c r="J62" s="76" t="n">
        <f aca="false">+I62+J92</f>
        <v>200</v>
      </c>
    </row>
    <row r="63" customFormat="false" ht="12.75" hidden="false" customHeight="false" outlineLevel="0" collapsed="false">
      <c r="E63" s="97"/>
      <c r="F63" s="76"/>
      <c r="G63" s="76"/>
      <c r="H63" s="76"/>
      <c r="I63" s="76"/>
      <c r="J63" s="76"/>
    </row>
    <row r="64" customFormat="false" ht="12.75" hidden="false" customHeight="false" outlineLevel="0" collapsed="false">
      <c r="B64" s="61" t="s">
        <v>371</v>
      </c>
      <c r="E64" s="97" t="n">
        <v>0</v>
      </c>
      <c r="F64" s="76" t="n">
        <f aca="false">+F111</f>
        <v>54.1729811300567</v>
      </c>
      <c r="G64" s="76" t="n">
        <f aca="false">+G111</f>
        <v>0</v>
      </c>
      <c r="H64" s="76" t="n">
        <f aca="false">+H111</f>
        <v>0</v>
      </c>
      <c r="I64" s="76" t="n">
        <f aca="false">+I111</f>
        <v>0</v>
      </c>
      <c r="J64" s="76" t="n">
        <f aca="false">+J111</f>
        <v>0</v>
      </c>
    </row>
    <row r="65" customFormat="false" ht="12.75" hidden="false" customHeight="false" outlineLevel="0" collapsed="false">
      <c r="B65" s="61" t="s">
        <v>335</v>
      </c>
      <c r="E65" s="76" t="n">
        <f aca="false">+E11</f>
        <v>4499.9753</v>
      </c>
      <c r="F65" s="76" t="n">
        <f aca="false">+F121</f>
        <v>4454.975547</v>
      </c>
      <c r="G65" s="76" t="n">
        <f aca="false">+G121</f>
        <v>4222.40033700657</v>
      </c>
      <c r="H65" s="76" t="n">
        <f aca="false">+H121</f>
        <v>3819.42837278738</v>
      </c>
      <c r="I65" s="76" t="n">
        <f aca="false">+I121</f>
        <v>3280.10411010754</v>
      </c>
      <c r="J65" s="76" t="n">
        <f aca="false">+J121</f>
        <v>2622.53007990454</v>
      </c>
    </row>
    <row r="66" customFormat="false" ht="12.75" hidden="false" customHeight="false" outlineLevel="0" collapsed="false">
      <c r="B66" s="61" t="s">
        <v>337</v>
      </c>
      <c r="E66" s="76" t="n">
        <f aca="false">+E12</f>
        <v>0</v>
      </c>
      <c r="F66" s="76" t="n">
        <f aca="false">+F132</f>
        <v>0</v>
      </c>
      <c r="G66" s="76" t="n">
        <f aca="false">+G132</f>
        <v>0</v>
      </c>
      <c r="H66" s="76" t="n">
        <f aca="false">+H132</f>
        <v>0</v>
      </c>
      <c r="I66" s="76" t="n">
        <f aca="false">+I132</f>
        <v>0</v>
      </c>
      <c r="J66" s="76" t="n">
        <f aca="false">+J132</f>
        <v>0</v>
      </c>
    </row>
    <row r="67" customFormat="false" ht="12.75" hidden="false" customHeight="false" outlineLevel="0" collapsed="false">
      <c r="B67" s="81" t="s">
        <v>372</v>
      </c>
      <c r="C67" s="81"/>
      <c r="D67" s="81"/>
      <c r="E67" s="82" t="n">
        <f aca="false">SUM(E64:E66)</f>
        <v>4499.9753</v>
      </c>
      <c r="F67" s="82" t="n">
        <f aca="false">SUM(F64:F66)</f>
        <v>4509.14852813006</v>
      </c>
      <c r="G67" s="82" t="n">
        <f aca="false">SUM(G64:G66)</f>
        <v>4222.40033700657</v>
      </c>
      <c r="H67" s="82" t="n">
        <f aca="false">SUM(H64:H66)</f>
        <v>3819.42837278738</v>
      </c>
      <c r="I67" s="82" t="n">
        <f aca="false">SUM(I64:I66)</f>
        <v>3280.10411010754</v>
      </c>
      <c r="J67" s="82" t="n">
        <f aca="false">SUM(J64:J66)</f>
        <v>2622.53007990454</v>
      </c>
    </row>
    <row r="68" customFormat="false" ht="12.75" hidden="false" customHeight="false" outlineLevel="0" collapsed="false">
      <c r="B68" s="61" t="s">
        <v>28</v>
      </c>
      <c r="E68" s="76" t="n">
        <f aca="false">SUM(E13:E14)-J12</f>
        <v>4323.6375765</v>
      </c>
      <c r="F68" s="76" t="n">
        <f aca="false">+E68+F40</f>
        <v>4654.01858267155</v>
      </c>
      <c r="G68" s="76" t="n">
        <f aca="false">+F68+G40</f>
        <v>5093.0412076918</v>
      </c>
      <c r="H68" s="76" t="n">
        <f aca="false">+G68+H40</f>
        <v>5662.27982536245</v>
      </c>
      <c r="I68" s="76" t="n">
        <f aca="false">+H68+I40</f>
        <v>6383.26218300388</v>
      </c>
      <c r="J68" s="76" t="n">
        <f aca="false">+I68+J40</f>
        <v>7239.42489382962</v>
      </c>
    </row>
    <row r="69" customFormat="false" ht="12.75" hidden="false" customHeight="false" outlineLevel="0" collapsed="false">
      <c r="B69" s="81" t="s">
        <v>373</v>
      </c>
      <c r="C69" s="81"/>
      <c r="D69" s="81"/>
      <c r="E69" s="82" t="n">
        <f aca="false">SUM(E67:E68)</f>
        <v>8823.6128765</v>
      </c>
      <c r="F69" s="82" t="n">
        <f aca="false">SUM(F67:F68)</f>
        <v>9163.16711080161</v>
      </c>
      <c r="G69" s="82" t="n">
        <f aca="false">SUM(G67:G68)</f>
        <v>9315.44154469838</v>
      </c>
      <c r="H69" s="82" t="n">
        <f aca="false">SUM(H67:H68)</f>
        <v>9481.70819814982</v>
      </c>
      <c r="I69" s="82" t="n">
        <f aca="false">SUM(I67:I68)</f>
        <v>9663.36629311141</v>
      </c>
      <c r="J69" s="82" t="n">
        <f aca="false">SUM(J67:J68)</f>
        <v>9861.95497373416</v>
      </c>
    </row>
    <row r="71" customFormat="false" ht="12.75" hidden="false" customHeight="false" outlineLevel="0" collapsed="false">
      <c r="B71" s="61" t="s">
        <v>374</v>
      </c>
      <c r="E71" s="98" t="n">
        <f aca="false">+E65/$E$31</f>
        <v>7.061</v>
      </c>
      <c r="F71" s="98" t="n">
        <f aca="false">+F65/$E$31</f>
        <v>6.99039</v>
      </c>
      <c r="G71" s="98" t="n">
        <f aca="false">+G65/$E$31</f>
        <v>6.62545165072427</v>
      </c>
      <c r="H71" s="98" t="n">
        <f aca="false">+H65/$E$31</f>
        <v>5.99314039351542</v>
      </c>
      <c r="I71" s="98" t="n">
        <f aca="false">+I65/$E$31</f>
        <v>5.14687605540175</v>
      </c>
      <c r="J71" s="98" t="n">
        <f aca="false">+J65/$E$31</f>
        <v>4.11506367472861</v>
      </c>
    </row>
    <row r="72" customFormat="false" ht="12.75" hidden="false" customHeight="false" outlineLevel="0" collapsed="false">
      <c r="B72" s="61" t="s">
        <v>375</v>
      </c>
      <c r="E72" s="98" t="n">
        <f aca="false">+E66/$E$31</f>
        <v>0</v>
      </c>
      <c r="F72" s="98" t="n">
        <f aca="false">+F66/$E$31</f>
        <v>0</v>
      </c>
      <c r="G72" s="98" t="n">
        <f aca="false">+G66/$E$31</f>
        <v>0</v>
      </c>
      <c r="H72" s="98" t="n">
        <f aca="false">+H66/$E$31</f>
        <v>0</v>
      </c>
      <c r="I72" s="98" t="n">
        <f aca="false">+I66/$E$31</f>
        <v>0</v>
      </c>
      <c r="J72" s="98" t="n">
        <f aca="false">+J66/$E$31</f>
        <v>0</v>
      </c>
    </row>
    <row r="73" customFormat="false" ht="12.75" hidden="false" customHeight="false" outlineLevel="0" collapsed="false">
      <c r="B73" s="61" t="s">
        <v>376</v>
      </c>
      <c r="E73" s="98" t="n">
        <f aca="false">+E67/$E$31</f>
        <v>7.061</v>
      </c>
      <c r="F73" s="98" t="n">
        <f aca="false">+F67/$E$31</f>
        <v>7.07539389319011</v>
      </c>
      <c r="G73" s="98" t="n">
        <f aca="false">+G67/$E$31</f>
        <v>6.62545165072427</v>
      </c>
      <c r="H73" s="98" t="n">
        <f aca="false">+H67/$E$31</f>
        <v>5.99314039351542</v>
      </c>
      <c r="I73" s="98" t="n">
        <f aca="false">+I67/$E$31</f>
        <v>5.14687605540175</v>
      </c>
      <c r="J73" s="98" t="n">
        <f aca="false">+J67/$E$31</f>
        <v>4.11506367472861</v>
      </c>
    </row>
    <row r="74" customFormat="false" ht="12.75" hidden="false" customHeight="false" outlineLevel="0" collapsed="false">
      <c r="B74" s="61" t="s">
        <v>377</v>
      </c>
      <c r="E74" s="99" t="n">
        <f aca="false">+E67/E69</f>
        <v>0.50999237647708</v>
      </c>
      <c r="F74" s="99" t="n">
        <f aca="false">+F67/F69</f>
        <v>0.492094979127319</v>
      </c>
      <c r="G74" s="99" t="n">
        <f aca="false">+G67/G69</f>
        <v>0.453268942405595</v>
      </c>
      <c r="H74" s="99" t="n">
        <f aca="false">+H67/H69</f>
        <v>0.402820704135639</v>
      </c>
      <c r="I74" s="99" t="n">
        <f aca="false">+I67/I69</f>
        <v>0.339437004726374</v>
      </c>
      <c r="J74" s="99" t="n">
        <f aca="false">+J67/J69</f>
        <v>0.265923955938681</v>
      </c>
    </row>
    <row r="76" customFormat="false" ht="12.75" hidden="false" customHeight="false" outlineLevel="0" collapsed="false">
      <c r="A76" s="61" t="s">
        <v>348</v>
      </c>
      <c r="B76" s="85" t="s">
        <v>378</v>
      </c>
      <c r="C76" s="85"/>
      <c r="D76" s="85"/>
      <c r="E76" s="85" t="n">
        <v>2013</v>
      </c>
      <c r="F76" s="85" t="n">
        <f aca="false">E76+1</f>
        <v>2014</v>
      </c>
      <c r="G76" s="85" t="n">
        <f aca="false">F76+1</f>
        <v>2015</v>
      </c>
      <c r="H76" s="85" t="n">
        <f aca="false">G76+1</f>
        <v>2016</v>
      </c>
      <c r="I76" s="85" t="n">
        <f aca="false">H76+1</f>
        <v>2017</v>
      </c>
      <c r="J76" s="85" t="n">
        <f aca="false">I76+1</f>
        <v>2018</v>
      </c>
    </row>
    <row r="77" customFormat="false" ht="12.75" hidden="false" customHeight="false" outlineLevel="0" collapsed="false">
      <c r="B77" s="61" t="s">
        <v>141</v>
      </c>
      <c r="F77" s="75" t="n">
        <f aca="false">+F40</f>
        <v>330.381006171551</v>
      </c>
      <c r="G77" s="75" t="n">
        <f aca="false">+G40</f>
        <v>439.022625020252</v>
      </c>
      <c r="H77" s="75" t="n">
        <f aca="false">+H40</f>
        <v>569.238617670643</v>
      </c>
      <c r="I77" s="75" t="n">
        <f aca="false">+I40</f>
        <v>720.982357641429</v>
      </c>
      <c r="J77" s="75" t="n">
        <f aca="false">+J40</f>
        <v>856.162710825746</v>
      </c>
    </row>
    <row r="78" customFormat="false" ht="12.75" hidden="false" customHeight="false" outlineLevel="0" collapsed="false">
      <c r="B78" s="61" t="s">
        <v>142</v>
      </c>
      <c r="F78" s="75" t="n">
        <f aca="false">+-F33</f>
        <v>159.489825498282</v>
      </c>
      <c r="G78" s="75" t="n">
        <f aca="false">+-G33</f>
        <v>170.571399381443</v>
      </c>
      <c r="H78" s="75" t="n">
        <f aca="false">+-H33</f>
        <v>182.761130652921</v>
      </c>
      <c r="I78" s="75" t="n">
        <f aca="false">+-I33</f>
        <v>196.169835051546</v>
      </c>
      <c r="J78" s="75" t="n">
        <f aca="false">+-J33</f>
        <v>210.919409890034</v>
      </c>
    </row>
    <row r="79" customFormat="false" ht="12.75" hidden="false" customHeight="false" outlineLevel="0" collapsed="false">
      <c r="B79" s="61" t="s">
        <v>379</v>
      </c>
      <c r="F79" s="75" t="n">
        <f aca="false">+F43</f>
        <v>-14.602226</v>
      </c>
      <c r="G79" s="75" t="n">
        <f aca="false">+G43</f>
        <v>-14.602226</v>
      </c>
      <c r="H79" s="75" t="n">
        <f aca="false">+H43</f>
        <v>-14.602226</v>
      </c>
      <c r="I79" s="75" t="n">
        <f aca="false">+I43</f>
        <v>-14.602226</v>
      </c>
      <c r="J79" s="75" t="n">
        <f aca="false">+J43</f>
        <v>-14.602226</v>
      </c>
    </row>
    <row r="80" customFormat="false" ht="12.75" hidden="false" customHeight="false" outlineLevel="0" collapsed="false">
      <c r="B80" s="61" t="s">
        <v>380</v>
      </c>
      <c r="F80" s="75" t="n">
        <f aca="false">-+F139</f>
        <v>0</v>
      </c>
      <c r="G80" s="75" t="n">
        <f aca="false">-+G139</f>
        <v>0</v>
      </c>
      <c r="H80" s="75" t="n">
        <f aca="false">-+H139</f>
        <v>0</v>
      </c>
      <c r="I80" s="75" t="n">
        <f aca="false">-+I139</f>
        <v>0</v>
      </c>
      <c r="J80" s="75" t="n">
        <f aca="false">-+J139</f>
        <v>0</v>
      </c>
    </row>
    <row r="81" customFormat="false" ht="12.75" hidden="false" customHeight="false" outlineLevel="0" collapsed="false">
      <c r="B81" s="61" t="s">
        <v>381</v>
      </c>
      <c r="F81" s="75" t="n">
        <f aca="false">+-F37</f>
        <v>2.24998765</v>
      </c>
      <c r="G81" s="75" t="n">
        <f aca="false">+-G37</f>
        <v>2.24998765</v>
      </c>
      <c r="H81" s="75" t="n">
        <f aca="false">+-H37</f>
        <v>2.24998765</v>
      </c>
      <c r="I81" s="75" t="n">
        <f aca="false">+-I37</f>
        <v>2.24998765</v>
      </c>
      <c r="J81" s="75" t="n">
        <f aca="false">+-J37</f>
        <v>2.24998765</v>
      </c>
    </row>
    <row r="82" customFormat="false" ht="12.75" hidden="false" customHeight="false" outlineLevel="0" collapsed="false">
      <c r="B82" s="61" t="s">
        <v>382</v>
      </c>
      <c r="F82" s="75" t="n">
        <f aca="false">+-F54</f>
        <v>-127.201995951608</v>
      </c>
      <c r="G82" s="75" t="n">
        <f aca="false">+-G54</f>
        <v>-139.922195546769</v>
      </c>
      <c r="H82" s="75" t="n">
        <f aca="false">+-H54</f>
        <v>-153.914415101445</v>
      </c>
      <c r="I82" s="75" t="n">
        <f aca="false">+-I54</f>
        <v>-169.30585661159</v>
      </c>
      <c r="J82" s="75" t="n">
        <f aca="false">+-J54</f>
        <v>-186.236442272749</v>
      </c>
    </row>
    <row r="83" customFormat="false" ht="12.75" hidden="false" customHeight="false" outlineLevel="0" collapsed="false">
      <c r="B83" s="81" t="s">
        <v>383</v>
      </c>
      <c r="C83" s="81"/>
      <c r="D83" s="81"/>
      <c r="E83" s="81"/>
      <c r="F83" s="82" t="n">
        <f aca="false">SUM(F77:F82)</f>
        <v>350.316597368225</v>
      </c>
      <c r="G83" s="82" t="n">
        <f aca="false">SUM(G77:G82)</f>
        <v>457.319590504926</v>
      </c>
      <c r="H83" s="82" t="n">
        <f aca="false">SUM(H77:H82)</f>
        <v>585.733094872119</v>
      </c>
      <c r="I83" s="82" t="n">
        <f aca="false">SUM(I77:I82)</f>
        <v>735.494097731386</v>
      </c>
      <c r="J83" s="82" t="n">
        <f aca="false">SUM(J77:J82)</f>
        <v>868.493440093032</v>
      </c>
    </row>
    <row r="84" customFormat="false" ht="12.75" hidden="false" customHeight="false" outlineLevel="0" collapsed="false">
      <c r="F84" s="75"/>
      <c r="G84" s="75"/>
      <c r="H84" s="75"/>
      <c r="I84" s="75"/>
      <c r="J84" s="75"/>
    </row>
    <row r="85" customFormat="false" ht="12.75" hidden="false" customHeight="false" outlineLevel="0" collapsed="false">
      <c r="B85" s="61" t="s">
        <v>359</v>
      </c>
      <c r="F85" s="75" t="n">
        <f aca="false">+-F44</f>
        <v>-159.489825498282</v>
      </c>
      <c r="G85" s="75" t="n">
        <f aca="false">+-G44</f>
        <v>-170.571399381443</v>
      </c>
      <c r="H85" s="75" t="n">
        <f aca="false">+-H44</f>
        <v>-182.761130652921</v>
      </c>
      <c r="I85" s="75" t="n">
        <f aca="false">+-I44</f>
        <v>-196.169835051546</v>
      </c>
      <c r="J85" s="75" t="n">
        <f aca="false">+-J44</f>
        <v>-210.919409890034</v>
      </c>
    </row>
    <row r="86" customFormat="false" ht="12.75" hidden="false" customHeight="false" outlineLevel="0" collapsed="false">
      <c r="B86" s="81" t="s">
        <v>384</v>
      </c>
      <c r="C86" s="81"/>
      <c r="D86" s="81"/>
      <c r="E86" s="81"/>
      <c r="F86" s="82" t="n">
        <f aca="false">SUM(F85)</f>
        <v>-159.489825498282</v>
      </c>
      <c r="G86" s="82" t="n">
        <f aca="false">SUM(G85)</f>
        <v>-170.571399381443</v>
      </c>
      <c r="H86" s="82" t="n">
        <f aca="false">SUM(H85)</f>
        <v>-182.761130652921</v>
      </c>
      <c r="I86" s="82" t="n">
        <f aca="false">SUM(I85)</f>
        <v>-196.169835051546</v>
      </c>
      <c r="J86" s="82" t="n">
        <f aca="false">SUM(J85)</f>
        <v>-210.919409890034</v>
      </c>
    </row>
    <row r="87" customFormat="false" ht="12.75" hidden="false" customHeight="false" outlineLevel="0" collapsed="false">
      <c r="F87" s="75"/>
      <c r="G87" s="75"/>
      <c r="H87" s="75"/>
      <c r="I87" s="75"/>
      <c r="J87" s="75"/>
    </row>
    <row r="88" customFormat="false" ht="12.75" hidden="false" customHeight="false" outlineLevel="0" collapsed="false">
      <c r="B88" s="61" t="s">
        <v>385</v>
      </c>
      <c r="F88" s="75" t="n">
        <f aca="false">+F119</f>
        <v>-44.999753</v>
      </c>
      <c r="G88" s="75" t="n">
        <f aca="false">+G119</f>
        <v>-44.999753</v>
      </c>
      <c r="H88" s="75" t="n">
        <f aca="false">+H119</f>
        <v>-44.999753</v>
      </c>
      <c r="I88" s="75" t="n">
        <f aca="false">+I119</f>
        <v>-44.999753</v>
      </c>
      <c r="J88" s="75" t="n">
        <f aca="false">+J119</f>
        <v>-44.999753</v>
      </c>
    </row>
    <row r="89" customFormat="false" ht="12.75" hidden="false" customHeight="false" outlineLevel="0" collapsed="false">
      <c r="B89" s="61" t="s">
        <v>386</v>
      </c>
      <c r="F89" s="75" t="n">
        <f aca="false">+SUM(F100,F102,F104)</f>
        <v>54.1729811300567</v>
      </c>
      <c r="G89" s="75" t="n">
        <f aca="false">+SUM(G100,G102,G104)</f>
        <v>-241.748438123483</v>
      </c>
      <c r="H89" s="75" t="n">
        <f aca="false">+SUM(H100,H102,H104)</f>
        <v>-357.972211219198</v>
      </c>
      <c r="I89" s="75" t="n">
        <f aca="false">+SUM(I100,I102,I104)</f>
        <v>-494.324509679839</v>
      </c>
      <c r="J89" s="75" t="n">
        <f aca="false">+SUM(J100,J102,J104)</f>
        <v>-612.574277202997</v>
      </c>
    </row>
    <row r="90" customFormat="false" ht="12.75" hidden="false" customHeight="false" outlineLevel="0" collapsed="false">
      <c r="B90" s="81" t="s">
        <v>387</v>
      </c>
      <c r="C90" s="81"/>
      <c r="D90" s="81"/>
      <c r="E90" s="81"/>
      <c r="F90" s="82" t="n">
        <f aca="false">SUM(F88:F89)</f>
        <v>9.17322813005666</v>
      </c>
      <c r="G90" s="82" t="n">
        <f aca="false">SUM(G88:G89)</f>
        <v>-286.748191123483</v>
      </c>
      <c r="H90" s="82" t="n">
        <f aca="false">SUM(H88:H89)</f>
        <v>-402.971964219198</v>
      </c>
      <c r="I90" s="82" t="n">
        <f aca="false">SUM(I88:I89)</f>
        <v>-539.324262679839</v>
      </c>
      <c r="J90" s="82" t="n">
        <f aca="false">SUM(J88:J89)</f>
        <v>-657.574030202997</v>
      </c>
    </row>
    <row r="91" customFormat="false" ht="12.75" hidden="false" customHeight="false" outlineLevel="0" collapsed="false">
      <c r="F91" s="75"/>
      <c r="G91" s="75"/>
      <c r="H91" s="75"/>
      <c r="I91" s="75"/>
      <c r="J91" s="75"/>
    </row>
    <row r="92" customFormat="false" ht="12.75" hidden="false" customHeight="false" outlineLevel="0" collapsed="false">
      <c r="B92" s="61" t="s">
        <v>388</v>
      </c>
      <c r="F92" s="75" t="n">
        <f aca="false">+SUM(F83,F86,F90)</f>
        <v>200</v>
      </c>
      <c r="G92" s="75" t="n">
        <f aca="false">+SUM(G83,G86,G90)</f>
        <v>0</v>
      </c>
      <c r="H92" s="75" t="n">
        <f aca="false">+SUM(H83,H86,H90)</f>
        <v>0</v>
      </c>
      <c r="I92" s="75" t="n">
        <f aca="false">+SUM(I83,I86,I90)</f>
        <v>0</v>
      </c>
      <c r="J92" s="75" t="n">
        <f aca="false">+SUM(J83,J86,J90)</f>
        <v>0</v>
      </c>
    </row>
    <row r="94" customFormat="false" ht="12.75" hidden="false" customHeight="false" outlineLevel="0" collapsed="false">
      <c r="A94" s="61" t="s">
        <v>348</v>
      </c>
      <c r="B94" s="85" t="s">
        <v>389</v>
      </c>
      <c r="C94" s="85"/>
      <c r="D94" s="85"/>
      <c r="E94" s="85" t="n">
        <v>2013</v>
      </c>
      <c r="F94" s="85" t="n">
        <f aca="false">E94+1</f>
        <v>2014</v>
      </c>
      <c r="G94" s="85" t="n">
        <f aca="false">F94+1</f>
        <v>2015</v>
      </c>
      <c r="H94" s="85" t="n">
        <f aca="false">G94+1</f>
        <v>2016</v>
      </c>
      <c r="I94" s="85" t="n">
        <f aca="false">H94+1</f>
        <v>2017</v>
      </c>
      <c r="J94" s="85" t="n">
        <f aca="false">I94+1</f>
        <v>2018</v>
      </c>
    </row>
    <row r="95" customFormat="false" ht="12.75" hidden="false" customHeight="false" outlineLevel="0" collapsed="false">
      <c r="B95" s="61" t="s">
        <v>390</v>
      </c>
      <c r="E95" s="75"/>
      <c r="F95" s="75" t="n">
        <f aca="false">+E62</f>
        <v>0</v>
      </c>
      <c r="G95" s="75" t="n">
        <f aca="false">+F62</f>
        <v>200</v>
      </c>
      <c r="H95" s="75" t="n">
        <f aca="false">+G62</f>
        <v>200</v>
      </c>
      <c r="I95" s="75" t="n">
        <f aca="false">+H62</f>
        <v>200</v>
      </c>
      <c r="J95" s="75" t="n">
        <f aca="false">+I62</f>
        <v>200</v>
      </c>
    </row>
    <row r="96" customFormat="false" ht="12.75" hidden="false" customHeight="false" outlineLevel="0" collapsed="false">
      <c r="B96" s="61" t="s">
        <v>391</v>
      </c>
      <c r="E96" s="75"/>
      <c r="F96" s="97" t="n">
        <v>-200</v>
      </c>
      <c r="G96" s="97" t="n">
        <v>-200</v>
      </c>
      <c r="H96" s="97" t="n">
        <v>-200</v>
      </c>
      <c r="I96" s="97" t="n">
        <v>-200</v>
      </c>
      <c r="J96" s="97" t="n">
        <v>-200</v>
      </c>
    </row>
    <row r="97" customFormat="false" ht="12.75" hidden="false" customHeight="false" outlineLevel="0" collapsed="false">
      <c r="B97" s="61" t="s">
        <v>392</v>
      </c>
      <c r="E97" s="75"/>
      <c r="F97" s="75" t="n">
        <f aca="false">+F83+F86</f>
        <v>190.826771869943</v>
      </c>
      <c r="G97" s="75" t="n">
        <f aca="false">+G83+G86</f>
        <v>286.748191123483</v>
      </c>
      <c r="H97" s="75" t="n">
        <f aca="false">+H83+H86</f>
        <v>402.971964219198</v>
      </c>
      <c r="I97" s="75" t="n">
        <f aca="false">+I83+I86</f>
        <v>539.324262679839</v>
      </c>
      <c r="J97" s="75" t="n">
        <f aca="false">+J83+J86</f>
        <v>657.574030202997</v>
      </c>
    </row>
    <row r="98" customFormat="false" ht="12.75" hidden="false" customHeight="false" outlineLevel="0" collapsed="false">
      <c r="B98" s="61" t="s">
        <v>393</v>
      </c>
      <c r="E98" s="75"/>
      <c r="F98" s="75" t="n">
        <f aca="false">+F88</f>
        <v>-44.999753</v>
      </c>
      <c r="G98" s="75" t="n">
        <f aca="false">+G88</f>
        <v>-44.999753</v>
      </c>
      <c r="H98" s="75" t="n">
        <f aca="false">+H88</f>
        <v>-44.999753</v>
      </c>
      <c r="I98" s="75" t="n">
        <f aca="false">+I88</f>
        <v>-44.999753</v>
      </c>
      <c r="J98" s="75" t="n">
        <f aca="false">+J88</f>
        <v>-44.999753</v>
      </c>
    </row>
    <row r="99" customFormat="false" ht="12.75" hidden="false" customHeight="false" outlineLevel="0" collapsed="false">
      <c r="B99" s="81" t="s">
        <v>394</v>
      </c>
      <c r="C99" s="81"/>
      <c r="D99" s="81"/>
      <c r="E99" s="82"/>
      <c r="F99" s="82" t="n">
        <f aca="false">SUM(F95:F98)</f>
        <v>-54.1729811300567</v>
      </c>
      <c r="G99" s="82" t="n">
        <f aca="false">SUM(G95:G98)</f>
        <v>241.748438123483</v>
      </c>
      <c r="H99" s="82" t="n">
        <f aca="false">SUM(H95:H98)</f>
        <v>357.972211219198</v>
      </c>
      <c r="I99" s="82" t="n">
        <f aca="false">SUM(I95:I98)</f>
        <v>494.324509679839</v>
      </c>
      <c r="J99" s="82" t="n">
        <f aca="false">SUM(J95:J98)</f>
        <v>612.574277202997</v>
      </c>
    </row>
    <row r="100" customFormat="false" ht="12.75" hidden="false" customHeight="false" outlineLevel="0" collapsed="false">
      <c r="B100" s="61" t="s">
        <v>395</v>
      </c>
      <c r="E100" s="75"/>
      <c r="F100" s="75" t="n">
        <f aca="false">+SUM(F109:F110)</f>
        <v>54.1729811300567</v>
      </c>
      <c r="G100" s="75" t="n">
        <f aca="false">+SUM(G109:G110)</f>
        <v>-54.1729811300567</v>
      </c>
      <c r="H100" s="75" t="n">
        <f aca="false">+SUM(H109:H110)</f>
        <v>0</v>
      </c>
      <c r="I100" s="75" t="n">
        <f aca="false">+SUM(I109:I110)</f>
        <v>0</v>
      </c>
      <c r="J100" s="75" t="n">
        <f aca="false">+SUM(J109:J110)</f>
        <v>0</v>
      </c>
    </row>
    <row r="101" customFormat="false" ht="12.75" hidden="false" customHeight="false" outlineLevel="0" collapsed="false">
      <c r="B101" s="81" t="s">
        <v>396</v>
      </c>
      <c r="C101" s="81"/>
      <c r="D101" s="81"/>
      <c r="E101" s="82"/>
      <c r="F101" s="82" t="n">
        <f aca="false">SUM(F99:F100)</f>
        <v>0</v>
      </c>
      <c r="G101" s="82" t="n">
        <f aca="false">SUM(G99:G100)</f>
        <v>187.575456993426</v>
      </c>
      <c r="H101" s="82" t="n">
        <f aca="false">SUM(H99:H100)</f>
        <v>357.972211219198</v>
      </c>
      <c r="I101" s="82" t="n">
        <f aca="false">SUM(I99:I100)</f>
        <v>494.324509679839</v>
      </c>
      <c r="J101" s="82" t="n">
        <f aca="false">SUM(J99:J100)</f>
        <v>612.574277202997</v>
      </c>
    </row>
    <row r="102" customFormat="false" ht="12.75" hidden="false" customHeight="false" outlineLevel="0" collapsed="false">
      <c r="B102" s="61" t="s">
        <v>397</v>
      </c>
      <c r="E102" s="75"/>
      <c r="F102" s="75" t="n">
        <f aca="false">+F120</f>
        <v>-0</v>
      </c>
      <c r="G102" s="75" t="n">
        <f aca="false">+G120</f>
        <v>-187.575456993426</v>
      </c>
      <c r="H102" s="75" t="n">
        <f aca="false">+H120</f>
        <v>-357.972211219198</v>
      </c>
      <c r="I102" s="75" t="n">
        <f aca="false">+I120</f>
        <v>-494.324509679839</v>
      </c>
      <c r="J102" s="75" t="n">
        <f aca="false">+J120</f>
        <v>-612.574277202997</v>
      </c>
    </row>
    <row r="103" customFormat="false" ht="12.75" hidden="false" customHeight="false" outlineLevel="0" collapsed="false">
      <c r="B103" s="81" t="s">
        <v>398</v>
      </c>
      <c r="C103" s="81"/>
      <c r="D103" s="81"/>
      <c r="E103" s="82"/>
      <c r="F103" s="82" t="n">
        <f aca="false">SUM(F101:F102)</f>
        <v>0</v>
      </c>
      <c r="G103" s="82" t="n">
        <f aca="false">SUM(G101:G102)</f>
        <v>0</v>
      </c>
      <c r="H103" s="82" t="n">
        <f aca="false">SUM(H101:H102)</f>
        <v>0</v>
      </c>
      <c r="I103" s="82" t="n">
        <f aca="false">SUM(I101:I102)</f>
        <v>0</v>
      </c>
      <c r="J103" s="82" t="n">
        <f aca="false">SUM(J101:J102)</f>
        <v>0</v>
      </c>
    </row>
    <row r="104" customFormat="false" ht="12.75" hidden="false" customHeight="false" outlineLevel="0" collapsed="false">
      <c r="B104" s="61" t="s">
        <v>397</v>
      </c>
      <c r="E104" s="75"/>
      <c r="F104" s="75" t="n">
        <f aca="false">+F131</f>
        <v>0</v>
      </c>
      <c r="G104" s="75" t="n">
        <f aca="false">+G131</f>
        <v>0</v>
      </c>
      <c r="H104" s="75" t="n">
        <f aca="false">+H131</f>
        <v>0</v>
      </c>
      <c r="I104" s="75" t="n">
        <f aca="false">+I131</f>
        <v>0</v>
      </c>
      <c r="J104" s="75" t="n">
        <f aca="false">+J131</f>
        <v>0</v>
      </c>
    </row>
    <row r="105" customFormat="false" ht="12.75" hidden="false" customHeight="false" outlineLevel="0" collapsed="false">
      <c r="B105" s="81" t="s">
        <v>399</v>
      </c>
      <c r="C105" s="81"/>
      <c r="D105" s="81"/>
      <c r="E105" s="82"/>
      <c r="F105" s="82" t="n">
        <f aca="false">SUM(F103:F104)</f>
        <v>0</v>
      </c>
      <c r="G105" s="82" t="n">
        <f aca="false">SUM(G103:G104)</f>
        <v>0</v>
      </c>
      <c r="H105" s="82" t="n">
        <f aca="false">SUM(H103:H104)</f>
        <v>0</v>
      </c>
      <c r="I105" s="82" t="n">
        <f aca="false">SUM(I103:I104)</f>
        <v>0</v>
      </c>
      <c r="J105" s="82" t="n">
        <f aca="false">SUM(J103:J104)</f>
        <v>0</v>
      </c>
    </row>
    <row r="106" customFormat="false" ht="12.75" hidden="false" customHeight="false" outlineLevel="0" collapsed="false">
      <c r="E106" s="75"/>
      <c r="F106" s="75"/>
      <c r="G106" s="75"/>
      <c r="H106" s="75"/>
      <c r="I106" s="75"/>
      <c r="J106" s="75"/>
    </row>
    <row r="107" customFormat="false" ht="12.75" hidden="false" customHeight="false" outlineLevel="0" collapsed="false">
      <c r="B107" s="93" t="s">
        <v>371</v>
      </c>
      <c r="E107" s="75"/>
      <c r="F107" s="75"/>
      <c r="G107" s="75"/>
      <c r="H107" s="75"/>
      <c r="I107" s="75"/>
      <c r="J107" s="75"/>
    </row>
    <row r="108" customFormat="false" ht="12.75" hidden="false" customHeight="false" outlineLevel="0" collapsed="false">
      <c r="B108" s="61" t="s">
        <v>400</v>
      </c>
      <c r="E108" s="75"/>
      <c r="F108" s="75" t="n">
        <f aca="false">+E111</f>
        <v>0</v>
      </c>
      <c r="G108" s="75" t="n">
        <f aca="false">+F111</f>
        <v>54.1729811300567</v>
      </c>
      <c r="H108" s="75" t="n">
        <f aca="false">+G111</f>
        <v>0</v>
      </c>
      <c r="I108" s="75" t="n">
        <f aca="false">+H111</f>
        <v>0</v>
      </c>
      <c r="J108" s="75" t="n">
        <f aca="false">+I111</f>
        <v>0</v>
      </c>
    </row>
    <row r="109" customFormat="false" ht="12.75" hidden="false" customHeight="false" outlineLevel="0" collapsed="false">
      <c r="B109" s="61" t="s">
        <v>401</v>
      </c>
      <c r="E109" s="75"/>
      <c r="F109" s="75" t="n">
        <f aca="false">+-MIN(F99,0)</f>
        <v>54.1729811300567</v>
      </c>
      <c r="G109" s="75" t="n">
        <f aca="false">+-MIN(G99,0)</f>
        <v>-0</v>
      </c>
      <c r="H109" s="75" t="n">
        <f aca="false">+-MIN(H99,0)</f>
        <v>-0</v>
      </c>
      <c r="I109" s="75" t="n">
        <f aca="false">+-MIN(I99,0)</f>
        <v>-0</v>
      </c>
      <c r="J109" s="75" t="n">
        <f aca="false">+-MIN(J99,0)</f>
        <v>-0</v>
      </c>
    </row>
    <row r="110" customFormat="false" ht="12.75" hidden="false" customHeight="false" outlineLevel="0" collapsed="false">
      <c r="B110" s="61" t="s">
        <v>402</v>
      </c>
      <c r="E110" s="75"/>
      <c r="F110" s="75" t="n">
        <f aca="false">+IF(F108&gt;0,-MIN(F108,MAX(F99,0)),0)</f>
        <v>0</v>
      </c>
      <c r="G110" s="75" t="n">
        <f aca="false">+IF(G108&gt;0,-MIN(G108,MAX(G99,0)),0)</f>
        <v>-54.1729811300567</v>
      </c>
      <c r="H110" s="75" t="n">
        <f aca="false">+IF(H108&gt;0,-MIN(H108,MAX(H99,0)),0)</f>
        <v>0</v>
      </c>
      <c r="I110" s="75" t="n">
        <f aca="false">+IF(I108&gt;0,-MIN(I108,MAX(I99,0)),0)</f>
        <v>0</v>
      </c>
      <c r="J110" s="75" t="n">
        <f aca="false">+IF(J108&gt;0,-MIN(J108,MAX(J99,0)),0)</f>
        <v>0</v>
      </c>
    </row>
    <row r="111" customFormat="false" ht="12.75" hidden="false" customHeight="false" outlineLevel="0" collapsed="false">
      <c r="B111" s="81" t="s">
        <v>403</v>
      </c>
      <c r="C111" s="81"/>
      <c r="D111" s="81"/>
      <c r="E111" s="100" t="n">
        <v>0</v>
      </c>
      <c r="F111" s="82" t="n">
        <f aca="false">SUM(F108:F110)</f>
        <v>54.1729811300567</v>
      </c>
      <c r="G111" s="82" t="n">
        <f aca="false">SUM(G108:G110)</f>
        <v>0</v>
      </c>
      <c r="H111" s="82" t="n">
        <f aca="false">SUM(H108:H110)</f>
        <v>0</v>
      </c>
      <c r="I111" s="82" t="n">
        <f aca="false">SUM(I108:I110)</f>
        <v>0</v>
      </c>
      <c r="J111" s="82" t="n">
        <f aca="false">SUM(J108:J110)</f>
        <v>0</v>
      </c>
    </row>
    <row r="112" customFormat="false" ht="12.75" hidden="false" customHeight="false" outlineLevel="0" collapsed="false">
      <c r="E112" s="75"/>
      <c r="F112" s="75"/>
      <c r="G112" s="75"/>
      <c r="H112" s="75"/>
      <c r="I112" s="75"/>
      <c r="J112" s="75"/>
    </row>
    <row r="113" customFormat="false" ht="12.75" hidden="false" customHeight="false" outlineLevel="0" collapsed="false">
      <c r="B113" s="61" t="s">
        <v>404</v>
      </c>
      <c r="E113" s="75"/>
      <c r="F113" s="75" t="n">
        <f aca="false">+E111</f>
        <v>0</v>
      </c>
      <c r="G113" s="75" t="n">
        <f aca="false">+F111</f>
        <v>54.1729811300567</v>
      </c>
      <c r="H113" s="75" t="n">
        <f aca="false">+G111</f>
        <v>0</v>
      </c>
      <c r="I113" s="75" t="n">
        <f aca="false">+H111</f>
        <v>0</v>
      </c>
      <c r="J113" s="75" t="n">
        <f aca="false">+I111</f>
        <v>0</v>
      </c>
    </row>
    <row r="114" customFormat="false" ht="12.75" hidden="false" customHeight="false" outlineLevel="0" collapsed="false">
      <c r="B114" s="61" t="s">
        <v>405</v>
      </c>
      <c r="F114" s="69" t="n">
        <v>0.03</v>
      </c>
      <c r="G114" s="92" t="n">
        <f aca="false">+F114</f>
        <v>0.03</v>
      </c>
      <c r="H114" s="92" t="n">
        <f aca="false">+G114</f>
        <v>0.03</v>
      </c>
      <c r="I114" s="92" t="n">
        <f aca="false">+H114</f>
        <v>0.03</v>
      </c>
      <c r="J114" s="92" t="n">
        <f aca="false">+I114</f>
        <v>0.03</v>
      </c>
    </row>
    <row r="115" customFormat="false" ht="12.75" hidden="false" customHeight="false" outlineLevel="0" collapsed="false">
      <c r="B115" s="61" t="s">
        <v>406</v>
      </c>
      <c r="E115" s="75"/>
      <c r="F115" s="75" t="n">
        <f aca="false">+-F113*F114</f>
        <v>-0</v>
      </c>
      <c r="G115" s="75" t="n">
        <f aca="false">+-G113*G114</f>
        <v>-1.6251894339017</v>
      </c>
      <c r="H115" s="75" t="n">
        <f aca="false">+-H113*H114</f>
        <v>-0</v>
      </c>
      <c r="I115" s="75" t="n">
        <f aca="false">+-I113*I114</f>
        <v>-0</v>
      </c>
      <c r="J115" s="75" t="n">
        <f aca="false">+-J113*J114</f>
        <v>-0</v>
      </c>
    </row>
    <row r="116" customFormat="false" ht="12.75" hidden="false" customHeight="false" outlineLevel="0" collapsed="false">
      <c r="E116" s="75"/>
      <c r="F116" s="75"/>
      <c r="G116" s="75"/>
      <c r="H116" s="75"/>
      <c r="I116" s="75"/>
      <c r="J116" s="75"/>
    </row>
    <row r="117" customFormat="false" ht="12.75" hidden="false" customHeight="false" outlineLevel="0" collapsed="false">
      <c r="B117" s="93" t="s">
        <v>335</v>
      </c>
      <c r="E117" s="75"/>
      <c r="F117" s="75"/>
      <c r="G117" s="75"/>
      <c r="H117" s="75"/>
      <c r="I117" s="75"/>
      <c r="J117" s="75"/>
    </row>
    <row r="118" customFormat="false" ht="12.75" hidden="false" customHeight="false" outlineLevel="0" collapsed="false">
      <c r="B118" s="61" t="s">
        <v>400</v>
      </c>
      <c r="E118" s="75"/>
      <c r="F118" s="75" t="n">
        <f aca="false">+E121</f>
        <v>4499.9753</v>
      </c>
      <c r="G118" s="75" t="n">
        <f aca="false">+F121</f>
        <v>4454.975547</v>
      </c>
      <c r="H118" s="75" t="n">
        <f aca="false">+G121</f>
        <v>4222.40033700657</v>
      </c>
      <c r="I118" s="75" t="n">
        <f aca="false">+H121</f>
        <v>3819.42837278738</v>
      </c>
      <c r="J118" s="75" t="n">
        <f aca="false">+I121</f>
        <v>3280.10411010754</v>
      </c>
    </row>
    <row r="119" customFormat="false" ht="12.75" hidden="false" customHeight="false" outlineLevel="0" collapsed="false">
      <c r="B119" s="61" t="s">
        <v>407</v>
      </c>
      <c r="E119" s="75"/>
      <c r="F119" s="101" t="n">
        <f aca="false">-IF($E$121+F118*F126&gt;0,$E$121*F126,0)</f>
        <v>-44.999753</v>
      </c>
      <c r="G119" s="101" t="n">
        <f aca="false">-IF($E$121+G118*G126&gt;0,$E$121*G126,0)</f>
        <v>-44.999753</v>
      </c>
      <c r="H119" s="101" t="n">
        <f aca="false">-IF($E$121+H118*H126&gt;0,$E$121*H126,0)</f>
        <v>-44.999753</v>
      </c>
      <c r="I119" s="101" t="n">
        <f aca="false">-IF($E$121+I118*I126&gt;0,$E$121*I126,0)</f>
        <v>-44.999753</v>
      </c>
      <c r="J119" s="101" t="n">
        <f aca="false">-IF($E$121+J118*J126&gt;0,$E$121*J126,0)</f>
        <v>-44.999753</v>
      </c>
    </row>
    <row r="120" customFormat="false" ht="12.75" hidden="false" customHeight="false" outlineLevel="0" collapsed="false">
      <c r="B120" s="61" t="s">
        <v>402</v>
      </c>
      <c r="E120" s="75"/>
      <c r="F120" s="75" t="n">
        <f aca="false">+-MIN(SUM(F118:F119),MAX(F101,0))</f>
        <v>-0</v>
      </c>
      <c r="G120" s="75" t="n">
        <f aca="false">+-MIN(SUM(G118:G119),MAX(G101,0))</f>
        <v>-187.575456993426</v>
      </c>
      <c r="H120" s="75" t="n">
        <f aca="false">+-MIN(SUM(H118:H119),MAX(H101,0))</f>
        <v>-357.972211219198</v>
      </c>
      <c r="I120" s="75" t="n">
        <f aca="false">+-MIN(SUM(I118:I119),MAX(I101,0))</f>
        <v>-494.324509679839</v>
      </c>
      <c r="J120" s="75" t="n">
        <f aca="false">+-MIN(SUM(J118:J119),MAX(J101,0))</f>
        <v>-612.574277202997</v>
      </c>
    </row>
    <row r="121" customFormat="false" ht="12.75" hidden="false" customHeight="false" outlineLevel="0" collapsed="false">
      <c r="B121" s="81" t="s">
        <v>403</v>
      </c>
      <c r="C121" s="81"/>
      <c r="D121" s="81"/>
      <c r="E121" s="100" t="n">
        <f aca="false">+E11</f>
        <v>4499.9753</v>
      </c>
      <c r="F121" s="82" t="n">
        <f aca="false">SUM(F118:F120)</f>
        <v>4454.975547</v>
      </c>
      <c r="G121" s="82" t="n">
        <f aca="false">SUM(G118:G120)</f>
        <v>4222.40033700657</v>
      </c>
      <c r="H121" s="82" t="n">
        <f aca="false">SUM(H118:H120)</f>
        <v>3819.42837278738</v>
      </c>
      <c r="I121" s="82" t="n">
        <f aca="false">SUM(I118:I120)</f>
        <v>3280.10411010754</v>
      </c>
      <c r="J121" s="82" t="n">
        <f aca="false">SUM(J118:J120)</f>
        <v>2622.53007990454</v>
      </c>
    </row>
    <row r="122" customFormat="false" ht="12.75" hidden="false" customHeight="false" outlineLevel="0" collapsed="false">
      <c r="E122" s="75"/>
      <c r="F122" s="75"/>
      <c r="G122" s="75"/>
      <c r="H122" s="75"/>
      <c r="I122" s="75"/>
      <c r="J122" s="75"/>
    </row>
    <row r="123" customFormat="false" ht="12.75" hidden="false" customHeight="false" outlineLevel="0" collapsed="false">
      <c r="B123" s="61" t="s">
        <v>404</v>
      </c>
      <c r="E123" s="75"/>
      <c r="F123" s="75" t="n">
        <f aca="false">+E121</f>
        <v>4499.9753</v>
      </c>
      <c r="G123" s="75" t="n">
        <f aca="false">+F121</f>
        <v>4454.975547</v>
      </c>
      <c r="H123" s="75" t="n">
        <f aca="false">+G121</f>
        <v>4222.40033700657</v>
      </c>
      <c r="I123" s="75" t="n">
        <f aca="false">+H121</f>
        <v>3819.42837278738</v>
      </c>
      <c r="J123" s="75" t="n">
        <f aca="false">+I121</f>
        <v>3280.10411010754</v>
      </c>
    </row>
    <row r="124" customFormat="false" ht="12.75" hidden="false" customHeight="false" outlineLevel="0" collapsed="false">
      <c r="B124" s="61" t="s">
        <v>405</v>
      </c>
      <c r="F124" s="69" t="n">
        <v>0.0287</v>
      </c>
      <c r="G124" s="92" t="n">
        <f aca="false">+F124</f>
        <v>0.0287</v>
      </c>
      <c r="H124" s="92" t="n">
        <f aca="false">+G124</f>
        <v>0.0287</v>
      </c>
      <c r="I124" s="92" t="n">
        <f aca="false">+H124</f>
        <v>0.0287</v>
      </c>
      <c r="J124" s="92" t="n">
        <f aca="false">+I124</f>
        <v>0.0287</v>
      </c>
    </row>
    <row r="125" customFormat="false" ht="12.75" hidden="false" customHeight="false" outlineLevel="0" collapsed="false">
      <c r="B125" s="61" t="s">
        <v>406</v>
      </c>
      <c r="E125" s="75"/>
      <c r="F125" s="75" t="n">
        <f aca="false">+-F123*F124</f>
        <v>-129.14929111</v>
      </c>
      <c r="G125" s="75" t="n">
        <f aca="false">+-G123*G124</f>
        <v>-127.8577981989</v>
      </c>
      <c r="H125" s="75" t="n">
        <f aca="false">+-H123*H124</f>
        <v>-121.182889672089</v>
      </c>
      <c r="I125" s="75" t="n">
        <f aca="false">+-I123*I124</f>
        <v>-109.617594298998</v>
      </c>
      <c r="J125" s="75" t="n">
        <f aca="false">+-J123*J124</f>
        <v>-94.1389879600863</v>
      </c>
    </row>
    <row r="126" customFormat="false" ht="12.75" hidden="false" customHeight="false" outlineLevel="0" collapsed="false">
      <c r="B126" s="61" t="s">
        <v>407</v>
      </c>
      <c r="F126" s="69" t="n">
        <v>0.01</v>
      </c>
      <c r="G126" s="92" t="n">
        <f aca="false">+F126</f>
        <v>0.01</v>
      </c>
      <c r="H126" s="92" t="n">
        <f aca="false">+G126</f>
        <v>0.01</v>
      </c>
      <c r="I126" s="92" t="n">
        <f aca="false">+H126</f>
        <v>0.01</v>
      </c>
      <c r="J126" s="92" t="n">
        <f aca="false">+I126</f>
        <v>0.01</v>
      </c>
    </row>
    <row r="128" customFormat="false" ht="12.75" hidden="false" customHeight="false" outlineLevel="0" collapsed="false">
      <c r="B128" s="93" t="s">
        <v>337</v>
      </c>
    </row>
    <row r="129" customFormat="false" ht="12.75" hidden="false" customHeight="false" outlineLevel="0" collapsed="false">
      <c r="B129" s="61" t="s">
        <v>400</v>
      </c>
      <c r="E129" s="75"/>
      <c r="F129" s="75" t="n">
        <f aca="false">+E132</f>
        <v>0</v>
      </c>
      <c r="G129" s="75" t="n">
        <f aca="false">+F132</f>
        <v>0</v>
      </c>
      <c r="H129" s="75" t="n">
        <f aca="false">+G132</f>
        <v>0</v>
      </c>
      <c r="I129" s="75" t="n">
        <f aca="false">+H132</f>
        <v>0</v>
      </c>
      <c r="J129" s="75" t="n">
        <f aca="false">+I132</f>
        <v>0</v>
      </c>
    </row>
    <row r="130" customFormat="false" ht="12.75" hidden="false" customHeight="false" outlineLevel="0" collapsed="false">
      <c r="B130" s="61" t="s">
        <v>408</v>
      </c>
      <c r="E130" s="75"/>
      <c r="F130" s="75" t="n">
        <f aca="false">+-F139</f>
        <v>0</v>
      </c>
      <c r="G130" s="75" t="n">
        <f aca="false">+-G139</f>
        <v>0</v>
      </c>
      <c r="H130" s="75" t="n">
        <f aca="false">+-H139</f>
        <v>0</v>
      </c>
      <c r="I130" s="75" t="n">
        <f aca="false">+-I139</f>
        <v>0</v>
      </c>
      <c r="J130" s="75" t="n">
        <f aca="false">+-J139</f>
        <v>0</v>
      </c>
    </row>
    <row r="131" customFormat="false" ht="12.75" hidden="false" customHeight="false" outlineLevel="0" collapsed="false">
      <c r="B131" s="61" t="s">
        <v>402</v>
      </c>
      <c r="E131" s="75"/>
      <c r="F131" s="75" t="n">
        <f aca="false">+IF(F103&gt;0,-MIN(SUM(F129:F130),F103),0)</f>
        <v>0</v>
      </c>
      <c r="G131" s="75" t="n">
        <f aca="false">+IF(G103&gt;0,-MIN(SUM(G129:G130),G103),0)</f>
        <v>0</v>
      </c>
      <c r="H131" s="75" t="n">
        <f aca="false">+IF(H103&gt;0,-MIN(SUM(H129:H130),H103),0)</f>
        <v>0</v>
      </c>
      <c r="I131" s="75" t="n">
        <f aca="false">+IF(I103&gt;0,-MIN(SUM(I129:I130),I103),0)</f>
        <v>0</v>
      </c>
      <c r="J131" s="75" t="n">
        <f aca="false">+IF(J103&gt;0,-MIN(SUM(J129:J130),J103),0)</f>
        <v>0</v>
      </c>
    </row>
    <row r="132" customFormat="false" ht="12.75" hidden="false" customHeight="false" outlineLevel="0" collapsed="false">
      <c r="B132" s="81" t="s">
        <v>403</v>
      </c>
      <c r="C132" s="81"/>
      <c r="D132" s="81"/>
      <c r="E132" s="100" t="n">
        <f aca="false">+E12</f>
        <v>0</v>
      </c>
      <c r="F132" s="82" t="n">
        <f aca="false">SUM(F129:F131)</f>
        <v>0</v>
      </c>
      <c r="G132" s="82" t="n">
        <f aca="false">SUM(G129:G131)</f>
        <v>0</v>
      </c>
      <c r="H132" s="82" t="n">
        <f aca="false">SUM(H129:H131)</f>
        <v>0</v>
      </c>
      <c r="I132" s="82" t="n">
        <f aca="false">SUM(I129:I131)</f>
        <v>0</v>
      </c>
      <c r="J132" s="82" t="n">
        <f aca="false">SUM(J129:J131)</f>
        <v>0</v>
      </c>
    </row>
    <row r="133" customFormat="false" ht="12.75" hidden="false" customHeight="false" outlineLevel="0" collapsed="false">
      <c r="E133" s="75"/>
      <c r="F133" s="75"/>
      <c r="G133" s="75"/>
      <c r="H133" s="75"/>
      <c r="I133" s="75"/>
      <c r="J133" s="75"/>
    </row>
    <row r="134" customFormat="false" ht="12.75" hidden="false" customHeight="false" outlineLevel="0" collapsed="false">
      <c r="B134" s="61" t="s">
        <v>404</v>
      </c>
      <c r="E134" s="75"/>
      <c r="F134" s="75" t="n">
        <f aca="false">+E132</f>
        <v>0</v>
      </c>
      <c r="G134" s="75" t="n">
        <f aca="false">+F132</f>
        <v>0</v>
      </c>
      <c r="H134" s="75" t="n">
        <f aca="false">+G132</f>
        <v>0</v>
      </c>
      <c r="I134" s="75" t="n">
        <f aca="false">+H132</f>
        <v>0</v>
      </c>
      <c r="J134" s="75" t="n">
        <f aca="false">+I132</f>
        <v>0</v>
      </c>
    </row>
    <row r="135" customFormat="false" ht="12.75" hidden="false" customHeight="false" outlineLevel="0" collapsed="false">
      <c r="B135" s="61" t="s">
        <v>405</v>
      </c>
      <c r="F135" s="69" t="n">
        <v>0</v>
      </c>
      <c r="G135" s="92" t="n">
        <f aca="false">+F135</f>
        <v>0</v>
      </c>
      <c r="H135" s="92" t="n">
        <f aca="false">+G135</f>
        <v>0</v>
      </c>
      <c r="I135" s="92" t="n">
        <f aca="false">+H135</f>
        <v>0</v>
      </c>
      <c r="J135" s="92" t="n">
        <f aca="false">+I135</f>
        <v>0</v>
      </c>
    </row>
    <row r="136" customFormat="false" ht="12.75" hidden="false" customHeight="false" outlineLevel="0" collapsed="false">
      <c r="B136" s="61" t="s">
        <v>406</v>
      </c>
      <c r="E136" s="75"/>
      <c r="F136" s="75" t="n">
        <f aca="false">+-F134*F135</f>
        <v>-0</v>
      </c>
      <c r="G136" s="75" t="n">
        <f aca="false">+-G134*G135</f>
        <v>-0</v>
      </c>
      <c r="H136" s="75" t="n">
        <f aca="false">+-H134*H135</f>
        <v>-0</v>
      </c>
      <c r="I136" s="75" t="n">
        <f aca="false">+-I134*I135</f>
        <v>-0</v>
      </c>
      <c r="J136" s="75" t="n">
        <f aca="false">+-J134*J135</f>
        <v>-0</v>
      </c>
    </row>
    <row r="138" customFormat="false" ht="12.75" hidden="false" customHeight="false" outlineLevel="0" collapsed="false">
      <c r="B138" s="61" t="s">
        <v>409</v>
      </c>
      <c r="F138" s="69" t="n">
        <v>0</v>
      </c>
      <c r="G138" s="92" t="n">
        <f aca="false">+F138</f>
        <v>0</v>
      </c>
      <c r="H138" s="92" t="n">
        <f aca="false">+G138</f>
        <v>0</v>
      </c>
      <c r="I138" s="92" t="n">
        <f aca="false">+H138</f>
        <v>0</v>
      </c>
      <c r="J138" s="92" t="n">
        <f aca="false">+I138</f>
        <v>0</v>
      </c>
    </row>
    <row r="139" customFormat="false" ht="12.75" hidden="false" customHeight="false" outlineLevel="0" collapsed="false">
      <c r="B139" s="61" t="s">
        <v>410</v>
      </c>
      <c r="E139" s="75"/>
      <c r="F139" s="75" t="n">
        <f aca="false">+E132*-F138</f>
        <v>-0</v>
      </c>
      <c r="G139" s="75" t="n">
        <f aca="false">+F132*-G138</f>
        <v>-0</v>
      </c>
      <c r="H139" s="75" t="n">
        <f aca="false">+G132*-H138</f>
        <v>-0</v>
      </c>
      <c r="I139" s="75" t="n">
        <f aca="false">+H132*-I138</f>
        <v>-0</v>
      </c>
      <c r="J139" s="75" t="n">
        <f aca="false">+I132*-J138</f>
        <v>-0</v>
      </c>
    </row>
    <row r="140" customFormat="false" ht="12.75" hidden="false" customHeight="false" outlineLevel="0" collapsed="false">
      <c r="E140" s="75"/>
      <c r="F140" s="75"/>
      <c r="G140" s="75"/>
      <c r="H140" s="75"/>
      <c r="I140" s="75"/>
      <c r="J140" s="75"/>
    </row>
    <row r="141" customFormat="false" ht="12.75" hidden="false" customHeight="false" outlineLevel="0" collapsed="false">
      <c r="B141" s="93" t="s">
        <v>370</v>
      </c>
      <c r="E141" s="75"/>
      <c r="F141" s="75"/>
      <c r="G141" s="75"/>
      <c r="H141" s="75"/>
      <c r="I141" s="75"/>
      <c r="J141" s="75"/>
    </row>
    <row r="142" customFormat="false" ht="12.75" hidden="false" customHeight="false" outlineLevel="0" collapsed="false">
      <c r="B142" s="61" t="s">
        <v>400</v>
      </c>
      <c r="E142" s="75"/>
      <c r="F142" s="75" t="n">
        <f aca="false">+E144</f>
        <v>0</v>
      </c>
      <c r="G142" s="75" t="n">
        <f aca="false">+F144</f>
        <v>200</v>
      </c>
      <c r="H142" s="75" t="n">
        <f aca="false">+G144</f>
        <v>200</v>
      </c>
      <c r="I142" s="75" t="n">
        <f aca="false">+H144</f>
        <v>200</v>
      </c>
      <c r="J142" s="75" t="n">
        <f aca="false">+I144</f>
        <v>200</v>
      </c>
    </row>
    <row r="143" customFormat="false" ht="12.75" hidden="false" customHeight="false" outlineLevel="0" collapsed="false">
      <c r="B143" s="61" t="s">
        <v>411</v>
      </c>
      <c r="E143" s="75"/>
      <c r="F143" s="75" t="n">
        <f aca="false">+F92</f>
        <v>200</v>
      </c>
      <c r="G143" s="75" t="n">
        <f aca="false">+G92</f>
        <v>0</v>
      </c>
      <c r="H143" s="75" t="n">
        <f aca="false">+H92</f>
        <v>0</v>
      </c>
      <c r="I143" s="75" t="n">
        <f aca="false">+I92</f>
        <v>0</v>
      </c>
      <c r="J143" s="75" t="n">
        <f aca="false">+J92</f>
        <v>0</v>
      </c>
    </row>
    <row r="144" customFormat="false" ht="12.75" hidden="false" customHeight="false" outlineLevel="0" collapsed="false">
      <c r="B144" s="81" t="s">
        <v>403</v>
      </c>
      <c r="C144" s="81"/>
      <c r="D144" s="81"/>
      <c r="E144" s="100" t="n">
        <v>0</v>
      </c>
      <c r="F144" s="82" t="n">
        <f aca="false">SUM(F142:F143)</f>
        <v>200</v>
      </c>
      <c r="G144" s="82" t="n">
        <f aca="false">SUM(G142:G143)</f>
        <v>200</v>
      </c>
      <c r="H144" s="82" t="n">
        <f aca="false">SUM(H142:H143)</f>
        <v>200</v>
      </c>
      <c r="I144" s="82" t="n">
        <f aca="false">SUM(I142:I143)</f>
        <v>200</v>
      </c>
      <c r="J144" s="82" t="n">
        <f aca="false">SUM(J142:J143)</f>
        <v>200</v>
      </c>
    </row>
    <row r="145" customFormat="false" ht="12.75" hidden="false" customHeight="false" outlineLevel="0" collapsed="false">
      <c r="E145" s="75"/>
      <c r="F145" s="75"/>
      <c r="G145" s="75"/>
      <c r="H145" s="75"/>
      <c r="I145" s="75"/>
      <c r="J145" s="75"/>
    </row>
    <row r="146" customFormat="false" ht="12.75" hidden="false" customHeight="false" outlineLevel="0" collapsed="false">
      <c r="B146" s="61" t="s">
        <v>404</v>
      </c>
      <c r="E146" s="75"/>
      <c r="F146" s="75" t="n">
        <f aca="false">+E144</f>
        <v>0</v>
      </c>
      <c r="G146" s="75" t="n">
        <f aca="false">+F144</f>
        <v>200</v>
      </c>
      <c r="H146" s="75" t="n">
        <f aca="false">+G144</f>
        <v>200</v>
      </c>
      <c r="I146" s="75" t="n">
        <f aca="false">+H144</f>
        <v>200</v>
      </c>
      <c r="J146" s="75" t="n">
        <f aca="false">+I144</f>
        <v>200</v>
      </c>
    </row>
    <row r="147" customFormat="false" ht="12.75" hidden="false" customHeight="false" outlineLevel="0" collapsed="false">
      <c r="B147" s="61" t="s">
        <v>405</v>
      </c>
      <c r="F147" s="69" t="n">
        <v>0.01</v>
      </c>
      <c r="G147" s="92" t="n">
        <f aca="false">+F147</f>
        <v>0.01</v>
      </c>
      <c r="H147" s="92" t="n">
        <f aca="false">+G147</f>
        <v>0.01</v>
      </c>
      <c r="I147" s="92" t="n">
        <f aca="false">+H147</f>
        <v>0.01</v>
      </c>
      <c r="J147" s="92" t="n">
        <f aca="false">+I147</f>
        <v>0.01</v>
      </c>
    </row>
    <row r="148" customFormat="false" ht="12.75" hidden="false" customHeight="false" outlineLevel="0" collapsed="false">
      <c r="B148" s="61" t="s">
        <v>412</v>
      </c>
      <c r="E148" s="75"/>
      <c r="F148" s="75" t="n">
        <f aca="false">+F146*F147</f>
        <v>0</v>
      </c>
      <c r="G148" s="75" t="n">
        <f aca="false">+G146*G147</f>
        <v>2</v>
      </c>
      <c r="H148" s="75" t="n">
        <f aca="false">+H146*H147</f>
        <v>2</v>
      </c>
      <c r="I148" s="75" t="n">
        <f aca="false">+I146*I147</f>
        <v>2</v>
      </c>
      <c r="J148" s="75" t="n">
        <f aca="false">+J146*J147</f>
        <v>2</v>
      </c>
    </row>
    <row r="149" customFormat="false" ht="12.75" hidden="false" customHeight="false" outlineLevel="0" collapsed="false">
      <c r="E149" s="75"/>
      <c r="F149" s="75"/>
      <c r="G149" s="75"/>
      <c r="H149" s="75"/>
      <c r="I149" s="75"/>
      <c r="J149" s="75"/>
    </row>
    <row r="150" customFormat="false" ht="12.75" hidden="false" customHeight="false" outlineLevel="0" collapsed="false">
      <c r="B150" s="61" t="s">
        <v>413</v>
      </c>
      <c r="E150" s="75"/>
      <c r="F150" s="75" t="n">
        <f aca="false">+F115+F125+F136+F139</f>
        <v>-129.14929111</v>
      </c>
      <c r="G150" s="75" t="n">
        <f aca="false">+G115+G125+G136+G139</f>
        <v>-129.482987632802</v>
      </c>
      <c r="H150" s="75" t="n">
        <f aca="false">+H115+H125+H136+H139</f>
        <v>-121.182889672089</v>
      </c>
      <c r="I150" s="75" t="n">
        <f aca="false">+I115+I125+I136+I139</f>
        <v>-109.617594298998</v>
      </c>
      <c r="J150" s="75" t="n">
        <f aca="false">+J115+J125+J136+J139</f>
        <v>-94.1389879600863</v>
      </c>
    </row>
    <row r="151" customFormat="false" ht="12.75" hidden="false" customHeight="false" outlineLevel="0" collapsed="false">
      <c r="F151" s="102"/>
      <c r="G151" s="102"/>
      <c r="H151" s="102"/>
      <c r="I151" s="102"/>
      <c r="J151" s="102"/>
    </row>
    <row r="152" customFormat="false" ht="12.75" hidden="false" customHeight="false" outlineLevel="0" collapsed="false">
      <c r="A152" s="61" t="s">
        <v>348</v>
      </c>
      <c r="B152" s="85" t="s">
        <v>414</v>
      </c>
      <c r="C152" s="85"/>
      <c r="D152" s="85"/>
      <c r="E152" s="85" t="n">
        <v>2013</v>
      </c>
      <c r="F152" s="85" t="n">
        <f aca="false">E152+1</f>
        <v>2014</v>
      </c>
      <c r="G152" s="85" t="n">
        <f aca="false">F152+1</f>
        <v>2015</v>
      </c>
      <c r="H152" s="85" t="n">
        <f aca="false">G152+1</f>
        <v>2016</v>
      </c>
      <c r="I152" s="85" t="n">
        <f aca="false">H152+1</f>
        <v>2017</v>
      </c>
      <c r="J152" s="85" t="n">
        <f aca="false">I152+1</f>
        <v>2018</v>
      </c>
    </row>
    <row r="153" customFormat="false" ht="12.75" hidden="false" customHeight="false" outlineLevel="0" collapsed="false">
      <c r="B153" s="61" t="s">
        <v>125</v>
      </c>
      <c r="E153" s="75"/>
      <c r="F153" s="75" t="n">
        <f aca="false">+F31</f>
        <v>762.86197021764</v>
      </c>
      <c r="G153" s="75" t="n">
        <f aca="false">+G31</f>
        <v>927.479553264605</v>
      </c>
      <c r="H153" s="75" t="n">
        <f aca="false">+H31</f>
        <v>1117.39203321879</v>
      </c>
      <c r="I153" s="75" t="n">
        <f aca="false">+I31</f>
        <v>1336.01221363116</v>
      </c>
      <c r="J153" s="75" t="n">
        <f aca="false">+J31</f>
        <v>1528.39797239404</v>
      </c>
    </row>
    <row r="154" customFormat="false" ht="12.75" hidden="false" customHeight="false" outlineLevel="0" collapsed="false">
      <c r="B154" s="61" t="s">
        <v>320</v>
      </c>
      <c r="F154" s="103" t="n">
        <f aca="false">+$E$4</f>
        <v>10</v>
      </c>
      <c r="G154" s="103" t="n">
        <f aca="false">+$E$4</f>
        <v>10</v>
      </c>
      <c r="H154" s="103" t="n">
        <f aca="false">+$E$4</f>
        <v>10</v>
      </c>
      <c r="I154" s="103" t="n">
        <f aca="false">+$E$4</f>
        <v>10</v>
      </c>
      <c r="J154" s="103" t="n">
        <f aca="false">+$E$4</f>
        <v>10</v>
      </c>
    </row>
    <row r="155" customFormat="false" ht="12.75" hidden="false" customHeight="false" outlineLevel="0" collapsed="false">
      <c r="B155" s="81" t="s">
        <v>415</v>
      </c>
      <c r="C155" s="81"/>
      <c r="D155" s="81"/>
      <c r="E155" s="82"/>
      <c r="F155" s="82" t="n">
        <f aca="false">+F153*F154</f>
        <v>7628.6197021764</v>
      </c>
      <c r="G155" s="82" t="n">
        <f aca="false">+G153*G154</f>
        <v>9274.79553264605</v>
      </c>
      <c r="H155" s="82" t="n">
        <f aca="false">+H153*H154</f>
        <v>11173.9203321879</v>
      </c>
      <c r="I155" s="82" t="n">
        <f aca="false">+I153*I154</f>
        <v>13360.1221363116</v>
      </c>
      <c r="J155" s="82" t="n">
        <f aca="false">+J153*J154</f>
        <v>15283.9797239404</v>
      </c>
    </row>
    <row r="156" customFormat="false" ht="12.75" hidden="false" customHeight="false" outlineLevel="0" collapsed="false">
      <c r="B156" s="61" t="s">
        <v>416</v>
      </c>
      <c r="E156" s="75"/>
      <c r="F156" s="75" t="n">
        <f aca="false">+-F67+F62</f>
        <v>-4309.14852813006</v>
      </c>
      <c r="G156" s="75" t="n">
        <f aca="false">+-G67+G62</f>
        <v>-4022.40033700657</v>
      </c>
      <c r="H156" s="75" t="n">
        <f aca="false">+-H67+H62</f>
        <v>-3619.42837278738</v>
      </c>
      <c r="I156" s="75" t="n">
        <f aca="false">+-I67+I62</f>
        <v>-3080.10411010754</v>
      </c>
      <c r="J156" s="75" t="n">
        <f aca="false">+-J67+J62</f>
        <v>-2422.53007990454</v>
      </c>
    </row>
    <row r="157" customFormat="false" ht="12.75" hidden="false" customHeight="false" outlineLevel="0" collapsed="false">
      <c r="B157" s="81" t="s">
        <v>417</v>
      </c>
      <c r="C157" s="81"/>
      <c r="D157" s="81"/>
      <c r="E157" s="82"/>
      <c r="F157" s="82" t="n">
        <f aca="false">+SUM(F155:F156)</f>
        <v>3319.47117404635</v>
      </c>
      <c r="G157" s="82" t="n">
        <f aca="false">+SUM(G155:G156)</f>
        <v>5252.39519563948</v>
      </c>
      <c r="H157" s="82" t="n">
        <f aca="false">+SUM(H155:H156)</f>
        <v>7554.49195940048</v>
      </c>
      <c r="I157" s="82" t="n">
        <f aca="false">+SUM(I155:I156)</f>
        <v>10280.018026204</v>
      </c>
      <c r="J157" s="82" t="n">
        <f aca="false">+SUM(J155:J156)</f>
        <v>12861.4496440359</v>
      </c>
    </row>
    <row r="158" customFormat="false" ht="12.75" hidden="false" customHeight="false" outlineLevel="0" collapsed="false">
      <c r="B158" s="61" t="s">
        <v>418</v>
      </c>
      <c r="E158" s="75"/>
      <c r="F158" s="75" t="n">
        <f aca="false">+-F157*$K$158</f>
        <v>-0</v>
      </c>
      <c r="G158" s="75" t="n">
        <f aca="false">+-G157*$K$158</f>
        <v>-0</v>
      </c>
      <c r="H158" s="75" t="n">
        <f aca="false">+-H157*$K$158</f>
        <v>-0</v>
      </c>
      <c r="I158" s="75" t="n">
        <f aca="false">+-I157*$K$158</f>
        <v>-0</v>
      </c>
      <c r="J158" s="75" t="n">
        <f aca="false">+-J157*$K$158</f>
        <v>-0</v>
      </c>
      <c r="K158" s="104" t="n">
        <f aca="false">E13/SUM(E13:E14)</f>
        <v>0</v>
      </c>
    </row>
    <row r="159" customFormat="false" ht="12.75" hidden="false" customHeight="false" outlineLevel="0" collapsed="false">
      <c r="B159" s="81" t="s">
        <v>419</v>
      </c>
      <c r="C159" s="81"/>
      <c r="D159" s="81"/>
      <c r="E159" s="82"/>
      <c r="F159" s="82" t="n">
        <f aca="false">SUM(F157:F158)</f>
        <v>3319.47117404635</v>
      </c>
      <c r="G159" s="82" t="n">
        <f aca="false">SUM(G157:G158)</f>
        <v>5252.39519563948</v>
      </c>
      <c r="H159" s="82" t="n">
        <f aca="false">SUM(H157:H158)</f>
        <v>7554.49195940048</v>
      </c>
      <c r="I159" s="82" t="n">
        <f aca="false">SUM(I157:I158)</f>
        <v>10280.018026204</v>
      </c>
      <c r="J159" s="82" t="n">
        <f aca="false">SUM(J157:J158)</f>
        <v>12861.4496440359</v>
      </c>
    </row>
    <row r="160" customFormat="false" ht="12.75" hidden="false" customHeight="false" outlineLevel="0" collapsed="false">
      <c r="E160" s="75"/>
      <c r="F160" s="75"/>
      <c r="G160" s="75"/>
      <c r="H160" s="75"/>
      <c r="I160" s="75"/>
      <c r="J160" s="75"/>
    </row>
    <row r="161" customFormat="false" ht="12.75" hidden="false" customHeight="false" outlineLevel="0" collapsed="false">
      <c r="B161" s="105" t="n">
        <v>40732</v>
      </c>
      <c r="E161" s="75"/>
      <c r="F161" s="75" t="n">
        <f aca="false">+-$E$14</f>
        <v>-4383.6375765</v>
      </c>
      <c r="G161" s="75" t="n">
        <f aca="false">+-$E$14</f>
        <v>-4383.6375765</v>
      </c>
      <c r="H161" s="75" t="n">
        <f aca="false">+-$E$14</f>
        <v>-4383.6375765</v>
      </c>
      <c r="I161" s="75" t="n">
        <f aca="false">+-$E$14</f>
        <v>-4383.6375765</v>
      </c>
      <c r="J161" s="75" t="n">
        <f aca="false">+-$E$14</f>
        <v>-4383.6375765</v>
      </c>
    </row>
    <row r="162" customFormat="false" ht="12.75" hidden="false" customHeight="false" outlineLevel="0" collapsed="false">
      <c r="B162" s="106" t="n">
        <f aca="false">DATE(YEAR(B161)+1,MONTH(B161),DAY(B161))</f>
        <v>41098</v>
      </c>
      <c r="E162" s="75"/>
      <c r="F162" s="75" t="n">
        <f aca="false">+F159</f>
        <v>3319.47117404635</v>
      </c>
      <c r="G162" s="75"/>
      <c r="H162" s="75"/>
      <c r="I162" s="75"/>
      <c r="J162" s="75"/>
    </row>
    <row r="163" customFormat="false" ht="12.75" hidden="false" customHeight="false" outlineLevel="0" collapsed="false">
      <c r="B163" s="106" t="n">
        <f aca="false">DATE(YEAR(B162)+1,MONTH(B162),DAY(B162))</f>
        <v>41463</v>
      </c>
      <c r="E163" s="75"/>
      <c r="F163" s="75"/>
      <c r="G163" s="75" t="n">
        <f aca="false">+G159</f>
        <v>5252.39519563948</v>
      </c>
      <c r="H163" s="75"/>
      <c r="I163" s="75"/>
      <c r="J163" s="75"/>
    </row>
    <row r="164" customFormat="false" ht="12.75" hidden="false" customHeight="false" outlineLevel="0" collapsed="false">
      <c r="B164" s="106" t="n">
        <f aca="false">DATE(YEAR(B163)+1,MONTH(B163),DAY(B163))</f>
        <v>41828</v>
      </c>
      <c r="E164" s="75"/>
      <c r="F164" s="75"/>
      <c r="G164" s="75"/>
      <c r="H164" s="75" t="n">
        <f aca="false">+H159</f>
        <v>7554.49195940048</v>
      </c>
      <c r="I164" s="75"/>
      <c r="J164" s="75"/>
    </row>
    <row r="165" customFormat="false" ht="12.75" hidden="false" customHeight="false" outlineLevel="0" collapsed="false">
      <c r="B165" s="106" t="n">
        <f aca="false">DATE(YEAR(B164)+1,MONTH(B164),DAY(B164))</f>
        <v>42193</v>
      </c>
      <c r="E165" s="75"/>
      <c r="F165" s="75"/>
      <c r="G165" s="75"/>
      <c r="H165" s="75"/>
      <c r="I165" s="75" t="n">
        <f aca="false">+I159</f>
        <v>10280.018026204</v>
      </c>
      <c r="J165" s="75"/>
    </row>
    <row r="166" customFormat="false" ht="12.75" hidden="false" customHeight="false" outlineLevel="0" collapsed="false">
      <c r="B166" s="106" t="n">
        <f aca="false">DATE(YEAR(B165)+1,MONTH(B165),DAY(B165))</f>
        <v>42559</v>
      </c>
      <c r="E166" s="75"/>
      <c r="F166" s="75"/>
      <c r="G166" s="75"/>
      <c r="H166" s="75"/>
      <c r="I166" s="75"/>
      <c r="J166" s="75" t="n">
        <f aca="false">+J159</f>
        <v>12861.4496440359</v>
      </c>
    </row>
    <row r="167" customFormat="false" ht="12.75" hidden="false" customHeight="false" outlineLevel="0" collapsed="false">
      <c r="B167" s="81" t="s">
        <v>156</v>
      </c>
      <c r="C167" s="81"/>
      <c r="D167" s="81"/>
      <c r="E167" s="81"/>
      <c r="F167" s="107" t="n">
        <f aca="false">IFERROR(XIRR(F161:F166,$B$161:$B$166),"n/m")</f>
        <v>-0.242183212692842</v>
      </c>
      <c r="G167" s="107" t="n">
        <f aca="false">IFERROR(XIRR(G161:G166,$B$161:$B$166),"n/m")</f>
        <v>0.0944795921455128</v>
      </c>
      <c r="H167" s="107" t="n">
        <f aca="false">IFERROR(XIRR(H161:H166,$B$161:$B$166),"n/m")</f>
        <v>0.198721565512592</v>
      </c>
      <c r="I167" s="107" t="n">
        <f aca="false">IFERROR(XIRR(I161:I166,$B$161:$B$166),"n/m")</f>
        <v>0.237304147612516</v>
      </c>
      <c r="J167" s="107" t="n">
        <f aca="false">IFERROR(XIRR(J161:J166,$B$161:$B$166),"n/m")</f>
        <v>0.239905859376888</v>
      </c>
    </row>
    <row r="168" customFormat="false" ht="12.75" hidden="false" customHeight="false" outlineLevel="0" collapsed="false">
      <c r="B168" s="61" t="s">
        <v>420</v>
      </c>
      <c r="F168" s="103" t="n">
        <f aca="false">+F162/F161*-1</f>
        <v>0.757241244541181</v>
      </c>
      <c r="G168" s="103" t="n">
        <f aca="false">+G163/G161*-1</f>
        <v>1.19818189893178</v>
      </c>
      <c r="H168" s="103" t="n">
        <f aca="false">+H164/H161*-1</f>
        <v>1.7233386263269</v>
      </c>
      <c r="I168" s="103" t="n">
        <f aca="false">+I165/I161*-1</f>
        <v>2.34508849027885</v>
      </c>
      <c r="J168" s="103" t="n">
        <f aca="false">+J166/J161*-1</f>
        <v>2.93396737745477</v>
      </c>
    </row>
    <row r="169" customFormat="false" ht="12.75" hidden="false" customHeight="false" outlineLevel="0" collapsed="false">
      <c r="F169" s="102"/>
      <c r="G169" s="102"/>
      <c r="H169" s="102"/>
      <c r="I169" s="102"/>
      <c r="J169" s="102"/>
    </row>
    <row r="170" customFormat="false" ht="12.75" hidden="false" customHeight="false" outlineLevel="0" collapsed="false">
      <c r="A170" s="61" t="s">
        <v>421</v>
      </c>
      <c r="B170" s="85" t="s">
        <v>422</v>
      </c>
      <c r="C170" s="85"/>
      <c r="D170" s="85"/>
      <c r="E170" s="85"/>
      <c r="F170" s="85"/>
      <c r="G170" s="85"/>
      <c r="H170" s="85"/>
      <c r="I170" s="85"/>
      <c r="J170" s="85"/>
    </row>
    <row r="171" customFormat="false" ht="12.75" hidden="false" customHeight="false" outlineLevel="0" collapsed="false">
      <c r="F171" s="102"/>
      <c r="G171" s="102"/>
      <c r="H171" s="102"/>
      <c r="I171" s="102"/>
      <c r="J171" s="102"/>
    </row>
    <row r="172" customFormat="false" ht="12.75" hidden="false" customHeight="false" outlineLevel="0" collapsed="false">
      <c r="C172" s="61" t="s">
        <v>423</v>
      </c>
      <c r="D172" s="108" t="s">
        <v>320</v>
      </c>
      <c r="E172" s="108"/>
      <c r="F172" s="108"/>
      <c r="G172" s="108"/>
      <c r="H172" s="108"/>
      <c r="J172" s="102"/>
    </row>
    <row r="173" customFormat="false" ht="12.75" hidden="false" customHeight="false" outlineLevel="0" collapsed="false">
      <c r="C173" s="109" t="n">
        <f aca="false">+J167</f>
        <v>0.239905859376888</v>
      </c>
      <c r="D173" s="110" t="n">
        <v>8</v>
      </c>
      <c r="E173" s="110" t="n">
        <f aca="false">D173+1</f>
        <v>9</v>
      </c>
      <c r="F173" s="110" t="n">
        <f aca="false">E173+1</f>
        <v>10</v>
      </c>
      <c r="G173" s="110" t="n">
        <f aca="false">F173+1</f>
        <v>11</v>
      </c>
      <c r="H173" s="110" t="n">
        <f aca="false">G173+1</f>
        <v>12</v>
      </c>
      <c r="J173" s="102"/>
    </row>
    <row r="174" customFormat="false" ht="12.75" hidden="false" customHeight="false" outlineLevel="0" collapsed="false">
      <c r="C174" s="96" t="n">
        <v>11</v>
      </c>
      <c r="D174" s="111" t="n">
        <f aca="false">IFERROR(((($J$153*D$173+$J$156)*(1-$K$158))/($E$14+(($C174-$E$3)*$E$5)))^(1/5)-1,"n/m")</f>
        <v>0.304763577554063</v>
      </c>
      <c r="E174" s="107" t="n">
        <f aca="false">IFERROR(((($J$153*E$173+$J$156)*(1-$K$158))/($E$14+(($C174-$E$3)*$E$5)))^(1/5)-1,"n/m")</f>
        <v>0.343119785868514</v>
      </c>
      <c r="F174" s="107" t="n">
        <f aca="false">IFERROR(((($J$153*F$173+$J$156)*(1-$K$158))/($E$14+(($C174-$E$3)*$E$5)))^(1/5)-1,"n/m")</f>
        <v>0.377537268966221</v>
      </c>
      <c r="G174" s="107" t="n">
        <f aca="false">IFERROR(((($J$153*G$173+$J$156)*(1-$K$158))/($E$14+(($C174-$E$3)*$E$5)))^(1/5)-1,"n/m")</f>
        <v>0.408823580339138</v>
      </c>
      <c r="H174" s="112" t="n">
        <f aca="false">IFERROR(((($J$153*H$173+$J$156)*(1-$K$158))/($E$14+(($C174-$E$3)*$E$5)))^(1/5)-1,"n/m")</f>
        <v>0.437554813679199</v>
      </c>
    </row>
    <row r="175" customFormat="false" ht="12.75" hidden="false" customHeight="false" outlineLevel="0" collapsed="false">
      <c r="B175" s="61" t="s">
        <v>424</v>
      </c>
      <c r="C175" s="96" t="n">
        <v>12</v>
      </c>
      <c r="D175" s="113" t="n">
        <f aca="false">IFERROR(((($J$153*D$173+$J$156)*(1-$K$158))/($E$14+(($C175-$E$3)*$E$5)))^(1/5)-1,"n/m")</f>
        <v>0.248655393354649</v>
      </c>
      <c r="E175" s="114" t="n">
        <f aca="false">IFERROR(((($J$153*E$173+$J$156)*(1-$K$158))/($E$14+(($C175-$E$3)*$E$5)))^(1/5)-1,"n/m")</f>
        <v>0.285362186220722</v>
      </c>
      <c r="F175" s="114" t="n">
        <f aca="false">IFERROR(((($J$153*F$173+$J$156)*(1-$K$158))/($E$14+(($C175-$E$3)*$E$5)))^(1/5)-1,"n/m")</f>
        <v>0.318299629168208</v>
      </c>
      <c r="G175" s="114" t="n">
        <f aca="false">IFERROR(((($J$153*G$173+$J$156)*(1-$K$158))/($E$14+(($C175-$E$3)*$E$5)))^(1/5)-1,"n/m")</f>
        <v>0.348240548815275</v>
      </c>
      <c r="H175" s="115" t="n">
        <f aca="false">IFERROR(((($J$153*H$173+$J$156)*(1-$K$158))/($E$14+(($C175-$E$3)*$E$5)))^(1/5)-1,"n/m")</f>
        <v>0.375736265345813</v>
      </c>
    </row>
    <row r="176" customFormat="false" ht="12.75" hidden="false" customHeight="false" outlineLevel="0" collapsed="false">
      <c r="B176" s="61" t="s">
        <v>425</v>
      </c>
      <c r="C176" s="96" t="n">
        <v>13</v>
      </c>
      <c r="D176" s="113" t="n">
        <f aca="false">IFERROR(((($J$153*D$173+$J$156)*(1-$K$158))/($E$14+(($C176-$E$3)*$E$5)))^(1/5)-1,"n/m")</f>
        <v>0.20448690076483</v>
      </c>
      <c r="E176" s="114" t="n">
        <f aca="false">IFERROR(((($J$153*E$173+$J$156)*(1-$K$158))/($E$14+(($C176-$E$3)*$E$5)))^(1/5)-1,"n/m")</f>
        <v>0.239895269968675</v>
      </c>
      <c r="F176" s="104" t="n">
        <f aca="false">IFERROR(((($J$153*F$173+$J$156)*(1-$K$158))/($E$14+(($C176-$E$3)*$E$5)))^(1/5)-1,"n/m")</f>
        <v>0.271667621881039</v>
      </c>
      <c r="G176" s="114" t="n">
        <f aca="false">IFERROR(((($J$153*G$173+$J$156)*(1-$K$158))/($E$14+(($C176-$E$3)*$E$5)))^(1/5)-1,"n/m")</f>
        <v>0.300549446044595</v>
      </c>
      <c r="H176" s="115" t="n">
        <f aca="false">IFERROR(((($J$153*H$173+$J$156)*(1-$K$158))/($E$14+(($C176-$E$3)*$E$5)))^(1/5)-1,"n/m")</f>
        <v>0.327072560880306</v>
      </c>
    </row>
    <row r="177" customFormat="false" ht="12.75" hidden="false" customHeight="false" outlineLevel="0" collapsed="false">
      <c r="C177" s="96" t="n">
        <v>14</v>
      </c>
      <c r="D177" s="113" t="n">
        <f aca="false">IFERROR(((($J$153*D$173+$J$156)*(1-$K$158))/($E$14+(($C177-$E$3)*$E$5)))^(1/5)-1,"n/m")</f>
        <v>0.168295767170001</v>
      </c>
      <c r="E177" s="114" t="n">
        <f aca="false">IFERROR(((($J$153*E$173+$J$156)*(1-$K$158))/($E$14+(($C177-$E$3)*$E$5)))^(1/5)-1,"n/m")</f>
        <v>0.202640223582915</v>
      </c>
      <c r="F177" s="114" t="n">
        <f aca="false">IFERROR(((($J$153*F$173+$J$156)*(1-$K$158))/($E$14+(($C177-$E$3)*$E$5)))^(1/5)-1,"n/m")</f>
        <v>0.23345791386139</v>
      </c>
      <c r="G177" s="114" t="n">
        <f aca="false">IFERROR(((($J$153*G$173+$J$156)*(1-$K$158))/($E$14+(($C177-$E$3)*$E$5)))^(1/5)-1,"n/m")</f>
        <v>0.261471927875993</v>
      </c>
      <c r="H177" s="115" t="n">
        <f aca="false">IFERROR(((($J$153*H$173+$J$156)*(1-$K$158))/($E$14+(($C177-$E$3)*$E$5)))^(1/5)-1,"n/m")</f>
        <v>0.287198104536818</v>
      </c>
    </row>
    <row r="178" customFormat="false" ht="12.75" hidden="false" customHeight="false" outlineLevel="0" collapsed="false">
      <c r="C178" s="96" t="n">
        <v>15</v>
      </c>
      <c r="D178" s="116" t="n">
        <f aca="false">IFERROR(((($J$153*D$173+$J$156)*(1-$K$158))/($E$14+(($C178-$E$3)*$E$5)))^(1/5)-1,"n/m")</f>
        <v>0.137783475888848</v>
      </c>
      <c r="E178" s="117" t="n">
        <f aca="false">IFERROR(((($J$153*E$173+$J$156)*(1-$K$158))/($E$14+(($C178-$E$3)*$E$5)))^(1/5)-1,"n/m")</f>
        <v>0.171230960757902</v>
      </c>
      <c r="F178" s="117" t="n">
        <f aca="false">IFERROR(((($J$153*F$173+$J$156)*(1-$K$158))/($E$14+(($C178-$E$3)*$E$5)))^(1/5)-1,"n/m")</f>
        <v>0.201243787774169</v>
      </c>
      <c r="G178" s="117" t="n">
        <f aca="false">IFERROR(((($J$153*G$173+$J$156)*(1-$K$158))/($E$14+(($C178-$E$3)*$E$5)))^(1/5)-1,"n/m")</f>
        <v>0.228526161925316</v>
      </c>
      <c r="H178" s="118" t="n">
        <f aca="false">IFERROR(((($J$153*H$173+$J$156)*(1-$K$158))/($E$14+(($C178-$E$3)*$E$5)))^(1/5)-1,"n/m")</f>
        <v>0.253580449996039</v>
      </c>
    </row>
    <row r="180" customFormat="false" ht="12.75" hidden="false" customHeight="false" outlineLevel="0" collapsed="false">
      <c r="C180" s="61" t="s">
        <v>426</v>
      </c>
      <c r="D180" s="108" t="s">
        <v>320</v>
      </c>
      <c r="E180" s="108"/>
      <c r="F180" s="108"/>
      <c r="G180" s="108"/>
      <c r="H180" s="108"/>
    </row>
    <row r="181" customFormat="false" ht="12.75" hidden="false" customHeight="false" outlineLevel="0" collapsed="false">
      <c r="C181" s="109" t="n">
        <f aca="false">+J168</f>
        <v>2.93396737745477</v>
      </c>
      <c r="D181" s="119" t="n">
        <v>8</v>
      </c>
      <c r="E181" s="119" t="n">
        <f aca="false">D181+1</f>
        <v>9</v>
      </c>
      <c r="F181" s="119" t="n">
        <f aca="false">E181+1</f>
        <v>10</v>
      </c>
      <c r="G181" s="119" t="n">
        <f aca="false">F181+1</f>
        <v>11</v>
      </c>
      <c r="H181" s="119" t="n">
        <f aca="false">G181+1</f>
        <v>12</v>
      </c>
    </row>
    <row r="182" customFormat="false" ht="12.75" hidden="false" customHeight="false" outlineLevel="0" collapsed="false">
      <c r="C182" s="96" t="n">
        <v>11</v>
      </c>
      <c r="D182" s="120" t="n">
        <f aca="false">IFERROR((($J$153*D$181+$J$156)*(1-$K$158))/($E$14+(($C182-$E$3)*$E$5)),"n/m")</f>
        <v>3.78145663540528</v>
      </c>
      <c r="E182" s="121" t="n">
        <f aca="false">IFERROR((($J$153*E$181+$J$156)*(1-$K$158))/($E$14+(($C182-$E$3)*$E$5)),"n/m")</f>
        <v>4.37092882193369</v>
      </c>
      <c r="F182" s="121" t="n">
        <f aca="false">IFERROR((($J$153*F$181+$J$156)*(1-$K$158))/($E$14+(($C182-$E$3)*$E$5)),"n/m")</f>
        <v>4.9604010084621</v>
      </c>
      <c r="G182" s="121" t="n">
        <f aca="false">IFERROR((($J$153*G$181+$J$156)*(1-$K$158))/($E$14+(($C182-$E$3)*$E$5)),"n/m")</f>
        <v>5.5498731949905</v>
      </c>
      <c r="H182" s="122" t="n">
        <f aca="false">IFERROR((($J$153*H$181+$J$156)*(1-$K$158))/($E$14+(($C182-$E$3)*$E$5)),"n/m")</f>
        <v>6.13934538151891</v>
      </c>
    </row>
    <row r="183" customFormat="false" ht="12.75" hidden="false" customHeight="false" outlineLevel="0" collapsed="false">
      <c r="B183" s="61" t="s">
        <v>424</v>
      </c>
      <c r="C183" s="96" t="n">
        <v>12</v>
      </c>
      <c r="D183" s="123" t="n">
        <f aca="false">IFERROR((($J$153*D$181+$J$156)*(1-$K$158))/($E$14+(($C183-$E$3)*$E$5)),"n/m")</f>
        <v>3.03537943105329</v>
      </c>
      <c r="E183" s="124" t="n">
        <f aca="false">IFERROR((($J$153*E$181+$J$156)*(1-$K$158))/($E$14+(($C183-$E$3)*$E$5)),"n/m")</f>
        <v>3.50854940830851</v>
      </c>
      <c r="F183" s="124" t="n">
        <f aca="false">IFERROR((($J$153*F$181+$J$156)*(1-$K$158))/($E$14+(($C183-$E$3)*$E$5)),"n/m")</f>
        <v>3.98171938556374</v>
      </c>
      <c r="G183" s="124" t="n">
        <f aca="false">IFERROR((($J$153*G$181+$J$156)*(1-$K$158))/($E$14+(($C183-$E$3)*$E$5)),"n/m")</f>
        <v>4.45488936281896</v>
      </c>
      <c r="H183" s="125" t="n">
        <f aca="false">IFERROR((($J$153*H$181+$J$156)*(1-$K$158))/($E$14+(($C183-$E$3)*$E$5)),"n/m")</f>
        <v>4.92805934007418</v>
      </c>
    </row>
    <row r="184" customFormat="false" ht="12.75" hidden="false" customHeight="false" outlineLevel="0" collapsed="false">
      <c r="B184" s="61" t="s">
        <v>425</v>
      </c>
      <c r="C184" s="96" t="n">
        <v>13</v>
      </c>
      <c r="D184" s="123" t="n">
        <f aca="false">IFERROR((($J$153*D$181+$J$156)*(1-$K$158))/($E$14+(($C184-$E$3)*$E$5)),"n/m")</f>
        <v>2.53518937610956</v>
      </c>
      <c r="E184" s="124" t="n">
        <f aca="false">IFERROR((($J$153*E$181+$J$156)*(1-$K$158))/($E$14+(($C184-$E$3)*$E$5)),"n/m")</f>
        <v>2.93038725060237</v>
      </c>
      <c r="F184" s="126" t="n">
        <f aca="false">IFERROR((($J$153*F$181+$J$156)*(1-$K$158))/($E$14+(($C184-$E$3)*$E$5)),"n/m")</f>
        <v>3.32558512509517</v>
      </c>
      <c r="G184" s="124" t="n">
        <f aca="false">IFERROR((($J$153*G$181+$J$156)*(1-$K$158))/($E$14+(($C184-$E$3)*$E$5)),"n/m")</f>
        <v>3.72078299958798</v>
      </c>
      <c r="H184" s="125" t="n">
        <f aca="false">IFERROR((($J$153*H$181+$J$156)*(1-$K$158))/($E$14+(($C184-$E$3)*$E$5)),"n/m")</f>
        <v>4.11598087408079</v>
      </c>
    </row>
    <row r="185" customFormat="false" ht="12.75" hidden="false" customHeight="false" outlineLevel="0" collapsed="false">
      <c r="C185" s="96" t="n">
        <v>14</v>
      </c>
      <c r="D185" s="123" t="n">
        <f aca="false">IFERROR((($J$153*D$181+$J$156)*(1-$K$158))/($E$14+(($C185-$E$3)*$E$5)),"n/m")</f>
        <v>2.17652678487741</v>
      </c>
      <c r="E185" s="124" t="n">
        <f aca="false">IFERROR((($J$153*E$181+$J$156)*(1-$K$158))/($E$14+(($C185-$E$3)*$E$5)),"n/m")</f>
        <v>2.51581455851119</v>
      </c>
      <c r="F185" s="124" t="n">
        <f aca="false">IFERROR((($J$153*F$181+$J$156)*(1-$K$158))/($E$14+(($C185-$E$3)*$E$5)),"n/m")</f>
        <v>2.85510233214497</v>
      </c>
      <c r="G185" s="124" t="n">
        <f aca="false">IFERROR((($J$153*G$181+$J$156)*(1-$K$158))/($E$14+(($C185-$E$3)*$E$5)),"n/m")</f>
        <v>3.19439010577874</v>
      </c>
      <c r="H185" s="125" t="n">
        <f aca="false">IFERROR((($J$153*H$181+$J$156)*(1-$K$158))/($E$14+(($C185-$E$3)*$E$5)),"n/m")</f>
        <v>3.53367787941252</v>
      </c>
    </row>
    <row r="186" customFormat="false" ht="12.75" hidden="false" customHeight="false" outlineLevel="0" collapsed="false">
      <c r="C186" s="96" t="n">
        <v>15</v>
      </c>
      <c r="D186" s="127" t="n">
        <f aca="false">IFERROR((($J$153*D$181+$J$156)*(1-$K$158))/($E$14+(($C186-$E$3)*$E$5)),"n/m")</f>
        <v>1.90676912437503</v>
      </c>
      <c r="E186" s="128" t="n">
        <f aca="false">IFERROR((($J$153*E$181+$J$156)*(1-$K$158))/($E$14+(($C186-$E$3)*$E$5)),"n/m")</f>
        <v>2.20400573801922</v>
      </c>
      <c r="F186" s="128" t="n">
        <f aca="false">IFERROR((($J$153*F$181+$J$156)*(1-$K$158))/($E$14+(($C186-$E$3)*$E$5)),"n/m")</f>
        <v>2.50124235166341</v>
      </c>
      <c r="G186" s="128" t="n">
        <f aca="false">IFERROR((($J$153*G$181+$J$156)*(1-$K$158))/($E$14+(($C186-$E$3)*$E$5)),"n/m")</f>
        <v>2.7984789653076</v>
      </c>
      <c r="H186" s="129" t="n">
        <f aca="false">IFERROR((($J$153*H$181+$J$156)*(1-$K$158))/($E$14+(($C186-$E$3)*$E$5)),"n/m")</f>
        <v>3.09571557895178</v>
      </c>
    </row>
    <row r="188" customFormat="false" ht="12.75" hidden="false" customHeight="false" outlineLevel="0" collapsed="false">
      <c r="A188" s="61" t="s">
        <v>348</v>
      </c>
      <c r="B188" s="85" t="s">
        <v>427</v>
      </c>
      <c r="C188" s="85"/>
      <c r="D188" s="85"/>
      <c r="E188" s="85"/>
      <c r="F188" s="85"/>
      <c r="G188" s="85"/>
      <c r="H188" s="85"/>
      <c r="I188" s="85"/>
      <c r="J188" s="85"/>
    </row>
    <row r="189" customFormat="false" ht="12.75" hidden="false" customHeight="false" outlineLevel="0" collapsed="false">
      <c r="E189" s="130" t="n">
        <v>2010</v>
      </c>
      <c r="F189" s="130" t="n">
        <v>2015</v>
      </c>
      <c r="G189" s="130" t="s">
        <v>411</v>
      </c>
      <c r="H189" s="130" t="s">
        <v>425</v>
      </c>
      <c r="I189" s="130" t="s">
        <v>428</v>
      </c>
      <c r="J189" s="130" t="s">
        <v>429</v>
      </c>
    </row>
    <row r="190" customFormat="false" ht="12.75" hidden="false" customHeight="false" outlineLevel="0" collapsed="false">
      <c r="B190" s="61" t="s">
        <v>430</v>
      </c>
      <c r="E190" s="75"/>
      <c r="F190" s="75"/>
      <c r="G190" s="75"/>
      <c r="H190" s="75"/>
      <c r="I190" s="75" t="n">
        <f aca="false">+E14</f>
        <v>4383.6375765</v>
      </c>
    </row>
    <row r="191" customFormat="false" ht="12.75" hidden="false" customHeight="false" outlineLevel="0" collapsed="false">
      <c r="E191" s="75"/>
      <c r="F191" s="75"/>
      <c r="G191" s="75"/>
      <c r="H191" s="75"/>
      <c r="I191" s="75"/>
    </row>
    <row r="192" customFormat="false" ht="12.75" hidden="false" customHeight="false" outlineLevel="0" collapsed="false">
      <c r="B192" s="93" t="s">
        <v>431</v>
      </c>
      <c r="E192" s="75"/>
      <c r="F192" s="75"/>
      <c r="G192" s="75"/>
      <c r="H192" s="75"/>
      <c r="I192" s="75"/>
    </row>
    <row r="193" customFormat="false" ht="12.75" hidden="false" customHeight="false" outlineLevel="0" collapsed="false">
      <c r="B193" s="61" t="s">
        <v>432</v>
      </c>
      <c r="E193" s="75" t="n">
        <f aca="false">+E62</f>
        <v>0</v>
      </c>
      <c r="F193" s="75" t="n">
        <f aca="false">J62</f>
        <v>200</v>
      </c>
      <c r="G193" s="75" t="n">
        <f aca="false">+F193-E193</f>
        <v>200</v>
      </c>
      <c r="H193" s="76" t="n">
        <v>1</v>
      </c>
      <c r="I193" s="75" t="n">
        <f aca="false">+G193*H193</f>
        <v>200</v>
      </c>
      <c r="J193" s="114" t="n">
        <f aca="false">+I193/$I$202</f>
        <v>0.0393489419082665</v>
      </c>
    </row>
    <row r="194" customFormat="false" ht="12.75" hidden="false" customHeight="false" outlineLevel="0" collapsed="false">
      <c r="B194" s="61" t="s">
        <v>389</v>
      </c>
      <c r="E194" s="75" t="n">
        <f aca="false">+E67</f>
        <v>4499.9753</v>
      </c>
      <c r="F194" s="75" t="n">
        <f aca="false">+J67</f>
        <v>2622.53007990454</v>
      </c>
      <c r="G194" s="75" t="n">
        <f aca="false">+E194-F194</f>
        <v>1877.44522009546</v>
      </c>
      <c r="H194" s="76" t="n">
        <v>1</v>
      </c>
      <c r="I194" s="75" t="n">
        <f aca="false">+G194*H194</f>
        <v>1877.44522009546</v>
      </c>
      <c r="J194" s="114" t="n">
        <f aca="false">+I194/$I$202</f>
        <v>0.369377414507445</v>
      </c>
    </row>
    <row r="195" customFormat="false" ht="12.75" hidden="false" customHeight="false" outlineLevel="0" collapsed="false">
      <c r="B195" s="61" t="s">
        <v>433</v>
      </c>
      <c r="E195" s="75" t="n">
        <f aca="false">+E31</f>
        <v>637.3</v>
      </c>
      <c r="F195" s="75" t="n">
        <f aca="false">J31</f>
        <v>1528.39797239404</v>
      </c>
      <c r="G195" s="75" t="n">
        <f aca="false">+F195-E195</f>
        <v>891.097972394044</v>
      </c>
      <c r="H195" s="76" t="n">
        <f aca="false">E4</f>
        <v>10</v>
      </c>
      <c r="I195" s="75" t="n">
        <f aca="false">+G195*H195</f>
        <v>8910.97972394044</v>
      </c>
      <c r="J195" s="114" t="n">
        <f aca="false">+I195/$I$202</f>
        <v>1.75318811751537</v>
      </c>
    </row>
    <row r="196" customFormat="false" ht="12.75" hidden="false" customHeight="false" outlineLevel="0" collapsed="false">
      <c r="B196" s="61" t="s">
        <v>434</v>
      </c>
      <c r="E196" s="75" t="n">
        <f aca="false">+E3</f>
        <v>13.81</v>
      </c>
      <c r="F196" s="75" t="n">
        <f aca="false">+E4</f>
        <v>10</v>
      </c>
      <c r="G196" s="75" t="n">
        <f aca="false">+F196-E196</f>
        <v>-3.81</v>
      </c>
      <c r="H196" s="75" t="n">
        <f aca="false">+F195</f>
        <v>1528.39797239404</v>
      </c>
      <c r="I196" s="75" t="n">
        <f aca="false">+G196*H196</f>
        <v>-5823.19627482131</v>
      </c>
      <c r="J196" s="114" t="n">
        <f aca="false">+I196/$I$202</f>
        <v>-1.14568305969189</v>
      </c>
    </row>
    <row r="197" customFormat="false" ht="12.75" hidden="false" customHeight="false" outlineLevel="0" collapsed="false">
      <c r="B197" s="81" t="s">
        <v>435</v>
      </c>
      <c r="C197" s="81"/>
      <c r="D197" s="81"/>
      <c r="E197" s="82"/>
      <c r="F197" s="82"/>
      <c r="G197" s="82"/>
      <c r="H197" s="82"/>
      <c r="I197" s="82" t="n">
        <f aca="false">SUM(I193:I196)</f>
        <v>5165.22866921459</v>
      </c>
      <c r="J197" s="107" t="n">
        <f aca="false">SUM(J193:J196)</f>
        <v>1.01623141423919</v>
      </c>
    </row>
    <row r="198" customFormat="false" ht="12.75" hidden="false" customHeight="false" outlineLevel="0" collapsed="false">
      <c r="B198" s="61" t="s">
        <v>436</v>
      </c>
      <c r="E198" s="75"/>
      <c r="F198" s="75"/>
      <c r="G198" s="75"/>
      <c r="H198" s="75"/>
      <c r="I198" s="75" t="n">
        <f aca="false">+-J12</f>
        <v>-60</v>
      </c>
      <c r="J198" s="114" t="n">
        <f aca="false">+I198/$I$202</f>
        <v>-0.01180468257248</v>
      </c>
    </row>
    <row r="199" customFormat="false" ht="12.75" hidden="false" customHeight="false" outlineLevel="0" collapsed="false">
      <c r="B199" s="61" t="s">
        <v>437</v>
      </c>
      <c r="E199" s="75"/>
      <c r="F199" s="75"/>
      <c r="G199" s="75"/>
      <c r="H199" s="75"/>
      <c r="I199" s="75" t="n">
        <f aca="false">+-J13</f>
        <v>-22.4998765</v>
      </c>
      <c r="J199" s="114" t="n">
        <f aca="false">+I199/$I$202</f>
        <v>-0.00442673166670835</v>
      </c>
    </row>
    <row r="200" customFormat="false" ht="12.75" hidden="false" customHeight="false" outlineLevel="0" collapsed="false">
      <c r="B200" s="81" t="s">
        <v>438</v>
      </c>
      <c r="C200" s="81"/>
      <c r="D200" s="81"/>
      <c r="E200" s="82"/>
      <c r="F200" s="82"/>
      <c r="G200" s="82"/>
      <c r="H200" s="82"/>
      <c r="I200" s="82" t="n">
        <f aca="false">SUM(I197:I199)</f>
        <v>5082.72879271459</v>
      </c>
      <c r="J200" s="107" t="n">
        <f aca="false">SUM(J197:J199)</f>
        <v>1</v>
      </c>
    </row>
    <row r="201" customFormat="false" ht="12.75" hidden="false" customHeight="false" outlineLevel="0" collapsed="false">
      <c r="B201" s="61" t="s">
        <v>439</v>
      </c>
      <c r="E201" s="75"/>
      <c r="F201" s="75"/>
      <c r="G201" s="75"/>
      <c r="H201" s="75"/>
      <c r="I201" s="75" t="n">
        <f aca="false">+-I200*K158</f>
        <v>-0</v>
      </c>
      <c r="J201" s="114" t="n">
        <f aca="false">+I201/$I$202</f>
        <v>-0</v>
      </c>
    </row>
    <row r="202" customFormat="false" ht="12.75" hidden="false" customHeight="false" outlineLevel="0" collapsed="false">
      <c r="B202" s="81" t="s">
        <v>440</v>
      </c>
      <c r="C202" s="81"/>
      <c r="D202" s="81"/>
      <c r="E202" s="82"/>
      <c r="F202" s="82"/>
      <c r="G202" s="82"/>
      <c r="H202" s="82"/>
      <c r="I202" s="82" t="n">
        <f aca="false">SUM(I200:I201)</f>
        <v>5082.72879271459</v>
      </c>
      <c r="J202" s="107" t="n">
        <f aca="false">SUM(J200:J201)</f>
        <v>1</v>
      </c>
    </row>
    <row r="203" customFormat="false" ht="12.75" hidden="false" customHeight="false" outlineLevel="0" collapsed="false">
      <c r="E203" s="75"/>
      <c r="F203" s="75"/>
      <c r="G203" s="75"/>
      <c r="H203" s="75"/>
      <c r="I203" s="75"/>
    </row>
    <row r="204" customFormat="false" ht="12.75" hidden="false" customHeight="false" outlineLevel="0" collapsed="false">
      <c r="B204" s="61" t="s">
        <v>441</v>
      </c>
      <c r="E204" s="75"/>
      <c r="F204" s="75"/>
      <c r="G204" s="75"/>
      <c r="H204" s="75"/>
      <c r="I204" s="75" t="n">
        <f aca="false">+I190+I202</f>
        <v>9466.36636921459</v>
      </c>
    </row>
    <row r="205" customFormat="false" ht="12.75" hidden="false" customHeight="false" outlineLevel="0" collapsed="false">
      <c r="B205" s="61" t="s">
        <v>442</v>
      </c>
      <c r="E205" s="75"/>
      <c r="F205" s="75"/>
      <c r="G205" s="75"/>
      <c r="H205" s="75"/>
      <c r="I205" s="75" t="n">
        <f aca="false">+J159</f>
        <v>12861.4496440359</v>
      </c>
    </row>
    <row r="207" s="131" customFormat="true" ht="12.75" hidden="false" customHeight="false" outlineLevel="0" collapsed="false">
      <c r="A207" s="131" t="s">
        <v>348</v>
      </c>
      <c r="B207" s="131" t="s">
        <v>443</v>
      </c>
      <c r="I207" s="132" t="n">
        <f aca="false">I204-I205</f>
        <v>-3395.08327482131</v>
      </c>
    </row>
  </sheetData>
  <mergeCells count="6">
    <mergeCell ref="B2:J2"/>
    <mergeCell ref="B10:E10"/>
    <mergeCell ref="G10:J10"/>
    <mergeCell ref="B17:E17"/>
    <mergeCell ref="D172:H172"/>
    <mergeCell ref="D180:H1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B2:J4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0.45"/>
    <col collapsed="false" customWidth="true" hidden="false" outlineLevel="0" max="6" min="6" style="0" width="10.45"/>
  </cols>
  <sheetData>
    <row r="2" customFormat="false" ht="14.25" hidden="false" customHeight="false" outlineLevel="0" collapsed="false">
      <c r="B2" s="134" t="s">
        <v>454</v>
      </c>
      <c r="C2" s="134"/>
      <c r="D2" s="134"/>
      <c r="E2" s="134"/>
      <c r="F2" s="134"/>
      <c r="G2" s="134"/>
      <c r="H2" s="134"/>
      <c r="I2" s="134"/>
      <c r="J2" s="134"/>
    </row>
    <row r="4" customFormat="false" ht="14.25" hidden="false" customHeight="false" outlineLevel="0" collapsed="false">
      <c r="B4" s="18" t="s">
        <v>79</v>
      </c>
      <c r="C4" s="18"/>
      <c r="D4" s="18"/>
      <c r="E4" s="18"/>
      <c r="G4" s="18" t="s">
        <v>80</v>
      </c>
      <c r="H4" s="18"/>
      <c r="I4" s="18"/>
      <c r="J4" s="18"/>
    </row>
    <row r="5" customFormat="false" ht="14.25" hidden="false" customHeight="false" outlineLevel="0" collapsed="false">
      <c r="B5" s="0" t="s">
        <v>26</v>
      </c>
      <c r="E5" s="20" t="n">
        <f aca="false">E12</f>
        <v>44</v>
      </c>
      <c r="F5" s="21"/>
      <c r="G5" s="22" t="s">
        <v>85</v>
      </c>
      <c r="J5" s="20" t="n">
        <f aca="false">J12</f>
        <v>110</v>
      </c>
    </row>
    <row r="6" customFormat="false" ht="14.25" hidden="false" customHeight="false" outlineLevel="0" collapsed="false">
      <c r="B6" s="0" t="s">
        <v>89</v>
      </c>
      <c r="E6" s="20" t="n">
        <f aca="false">E7-E5</f>
        <v>66</v>
      </c>
    </row>
    <row r="7" customFormat="false" ht="14.25" hidden="false" customHeight="false" outlineLevel="0" collapsed="false">
      <c r="B7" s="27" t="s">
        <v>92</v>
      </c>
      <c r="C7" s="27"/>
      <c r="D7" s="27"/>
      <c r="E7" s="28" t="n">
        <f aca="false">J7</f>
        <v>110</v>
      </c>
      <c r="G7" s="27" t="s">
        <v>93</v>
      </c>
      <c r="H7" s="27"/>
      <c r="I7" s="27"/>
      <c r="J7" s="28" t="n">
        <f aca="false">J5</f>
        <v>110</v>
      </c>
    </row>
    <row r="9" customFormat="false" ht="14.25" hidden="false" customHeight="false" outlineLevel="0" collapsed="false">
      <c r="B9" s="30" t="s">
        <v>100</v>
      </c>
      <c r="G9" s="30" t="s">
        <v>101</v>
      </c>
    </row>
    <row r="10" customFormat="false" ht="14.25" hidden="false" customHeight="false" outlineLevel="0" collapsed="false">
      <c r="B10" s="0" t="s">
        <v>455</v>
      </c>
      <c r="E10" s="20" t="n">
        <f aca="false">F18</f>
        <v>22</v>
      </c>
      <c r="G10" s="22" t="s">
        <v>455</v>
      </c>
      <c r="J10" s="20" t="n">
        <f aca="false">F18</f>
        <v>22</v>
      </c>
    </row>
    <row r="11" customFormat="false" ht="14.25" hidden="false" customHeight="false" outlineLevel="0" collapsed="false">
      <c r="B11" s="0" t="s">
        <v>106</v>
      </c>
      <c r="E11" s="32" t="n">
        <v>2</v>
      </c>
      <c r="G11" s="22" t="s">
        <v>107</v>
      </c>
      <c r="J11" s="32" t="n">
        <v>5</v>
      </c>
    </row>
    <row r="12" customFormat="false" ht="14.25" hidden="false" customHeight="false" outlineLevel="0" collapsed="false">
      <c r="B12" s="34" t="s">
        <v>26</v>
      </c>
      <c r="C12" s="34"/>
      <c r="D12" s="34"/>
      <c r="E12" s="35" t="n">
        <f aca="false">E10*E11</f>
        <v>44</v>
      </c>
      <c r="G12" s="34" t="s">
        <v>85</v>
      </c>
      <c r="H12" s="34"/>
      <c r="I12" s="34"/>
      <c r="J12" s="35" t="n">
        <f aca="false">J10*J11</f>
        <v>110</v>
      </c>
    </row>
    <row r="14" customFormat="false" ht="14.25" hidden="false" customHeight="false" outlineLevel="0" collapsed="false">
      <c r="B14" s="37" t="s">
        <v>115</v>
      </c>
      <c r="C14" s="38"/>
      <c r="D14" s="38"/>
      <c r="E14" s="39" t="n">
        <v>2022</v>
      </c>
      <c r="F14" s="39" t="n">
        <f aca="false">E14+1</f>
        <v>2023</v>
      </c>
      <c r="G14" s="39" t="n">
        <f aca="false">F14+1</f>
        <v>2024</v>
      </c>
      <c r="H14" s="39" t="n">
        <f aca="false">G14+1</f>
        <v>2025</v>
      </c>
      <c r="I14" s="39" t="n">
        <f aca="false">H14+1</f>
        <v>2026</v>
      </c>
      <c r="J14" s="39" t="n">
        <f aca="false">I14+1</f>
        <v>2027</v>
      </c>
    </row>
    <row r="15" customFormat="false" ht="14.25" hidden="false" customHeight="false" outlineLevel="0" collapsed="false">
      <c r="B15" s="0" t="s">
        <v>117</v>
      </c>
      <c r="E15" s="20" t="n">
        <v>100</v>
      </c>
      <c r="F15" s="20" t="n">
        <f aca="false">E15+F16</f>
        <v>110</v>
      </c>
      <c r="G15" s="20" t="n">
        <f aca="false">F15+G16</f>
        <v>120</v>
      </c>
      <c r="H15" s="20" t="n">
        <f aca="false">G15+H16</f>
        <v>130</v>
      </c>
      <c r="I15" s="20" t="n">
        <f aca="false">H15+I16</f>
        <v>140</v>
      </c>
      <c r="J15" s="20" t="n">
        <f aca="false">I15+J16</f>
        <v>150</v>
      </c>
    </row>
    <row r="16" customFormat="false" ht="14.25" hidden="false" customHeight="false" outlineLevel="0" collapsed="false">
      <c r="B16" s="40" t="s">
        <v>120</v>
      </c>
      <c r="F16" s="41" t="n">
        <v>10</v>
      </c>
      <c r="G16" s="41" t="n">
        <f aca="false">F16</f>
        <v>10</v>
      </c>
      <c r="H16" s="41" t="n">
        <f aca="false">G16</f>
        <v>10</v>
      </c>
      <c r="I16" s="41" t="n">
        <f aca="false">H16</f>
        <v>10</v>
      </c>
      <c r="J16" s="41" t="n">
        <f aca="false">I16</f>
        <v>10</v>
      </c>
    </row>
    <row r="18" customFormat="false" ht="14.25" hidden="false" customHeight="false" outlineLevel="0" collapsed="false">
      <c r="B18" s="0" t="s">
        <v>125</v>
      </c>
      <c r="E18" s="20" t="n">
        <f aca="false">E19*E15</f>
        <v>20</v>
      </c>
      <c r="F18" s="20" t="n">
        <f aca="false">F19*F15</f>
        <v>22</v>
      </c>
      <c r="G18" s="20" t="n">
        <f aca="false">G19*G15</f>
        <v>24</v>
      </c>
      <c r="H18" s="20" t="n">
        <f aca="false">H19*H15</f>
        <v>26</v>
      </c>
      <c r="I18" s="20" t="n">
        <f aca="false">I19*I15</f>
        <v>28</v>
      </c>
      <c r="J18" s="20" t="n">
        <f aca="false">J19*J15</f>
        <v>30</v>
      </c>
    </row>
    <row r="19" customFormat="false" ht="14.25" hidden="false" customHeight="false" outlineLevel="0" collapsed="false">
      <c r="B19" s="40" t="s">
        <v>128</v>
      </c>
      <c r="E19" s="43" t="n">
        <v>0.2</v>
      </c>
      <c r="F19" s="43" t="n">
        <f aca="false">E19</f>
        <v>0.2</v>
      </c>
      <c r="G19" s="43" t="n">
        <f aca="false">F19</f>
        <v>0.2</v>
      </c>
      <c r="H19" s="43" t="n">
        <f aca="false">G19</f>
        <v>0.2</v>
      </c>
      <c r="I19" s="43" t="n">
        <f aca="false">H19</f>
        <v>0.2</v>
      </c>
      <c r="J19" s="43" t="n">
        <f aca="false">I19</f>
        <v>0.2</v>
      </c>
    </row>
    <row r="21" customFormat="false" ht="14.25" hidden="false" customHeight="false" outlineLevel="0" collapsed="false">
      <c r="B21" s="30" t="s">
        <v>133</v>
      </c>
    </row>
    <row r="22" customFormat="false" ht="14.25" hidden="false" customHeight="false" outlineLevel="0" collapsed="false">
      <c r="B22" s="0" t="s">
        <v>125</v>
      </c>
      <c r="E22" s="46"/>
      <c r="F22" s="46" t="n">
        <f aca="false">F18</f>
        <v>22</v>
      </c>
      <c r="G22" s="46" t="n">
        <f aca="false">G18</f>
        <v>24</v>
      </c>
      <c r="H22" s="46" t="n">
        <f aca="false">H18</f>
        <v>26</v>
      </c>
      <c r="I22" s="46" t="n">
        <f aca="false">I18</f>
        <v>28</v>
      </c>
      <c r="J22" s="46" t="n">
        <f aca="false">J18</f>
        <v>30</v>
      </c>
    </row>
    <row r="23" customFormat="false" ht="14.25" hidden="false" customHeight="false" outlineLevel="0" collapsed="false">
      <c r="B23" s="0" t="s">
        <v>136</v>
      </c>
      <c r="E23" s="46"/>
      <c r="F23" s="46" t="n">
        <v>-10</v>
      </c>
      <c r="G23" s="46" t="n">
        <f aca="false">F23</f>
        <v>-10</v>
      </c>
      <c r="H23" s="46" t="n">
        <f aca="false">G23</f>
        <v>-10</v>
      </c>
      <c r="I23" s="46" t="n">
        <f aca="false">H23</f>
        <v>-10</v>
      </c>
      <c r="J23" s="46" t="n">
        <f aca="false">I23</f>
        <v>-10</v>
      </c>
    </row>
    <row r="24" customFormat="false" ht="14.25" hidden="false" customHeight="false" outlineLevel="0" collapsed="false">
      <c r="B24" s="34" t="s">
        <v>137</v>
      </c>
      <c r="C24" s="34"/>
      <c r="D24" s="34"/>
      <c r="E24" s="47"/>
      <c r="F24" s="47" t="n">
        <f aca="false">F22+F23</f>
        <v>12</v>
      </c>
      <c r="G24" s="47" t="n">
        <f aca="false">G22+G23</f>
        <v>14</v>
      </c>
      <c r="H24" s="47" t="n">
        <f aca="false">H22+H23</f>
        <v>16</v>
      </c>
      <c r="I24" s="47" t="n">
        <f aca="false">I22+I23</f>
        <v>18</v>
      </c>
      <c r="J24" s="47" t="n">
        <f aca="false">J22+J23</f>
        <v>20</v>
      </c>
    </row>
    <row r="25" customFormat="false" ht="14.25" hidden="false" customHeight="false" outlineLevel="0" collapsed="false">
      <c r="B25" s="0" t="s">
        <v>138</v>
      </c>
      <c r="D25" s="43" t="n">
        <v>0.1</v>
      </c>
      <c r="E25" s="46"/>
      <c r="F25" s="46" t="n">
        <f aca="false">$E$12*-$D$25</f>
        <v>-4.4</v>
      </c>
      <c r="G25" s="46" t="n">
        <f aca="false">$E$12*-$D$25</f>
        <v>-4.4</v>
      </c>
      <c r="H25" s="46" t="n">
        <f aca="false">$E$12*-$D$25</f>
        <v>-4.4</v>
      </c>
      <c r="I25" s="46" t="n">
        <f aca="false">$E$12*-$D$25</f>
        <v>-4.4</v>
      </c>
      <c r="J25" s="46" t="n">
        <f aca="false">$E$12*-$D$25</f>
        <v>-4.4</v>
      </c>
    </row>
    <row r="26" customFormat="false" ht="14.25" hidden="false" customHeight="false" outlineLevel="0" collapsed="false">
      <c r="B26" s="34" t="s">
        <v>139</v>
      </c>
      <c r="C26" s="34"/>
      <c r="D26" s="34"/>
      <c r="E26" s="47"/>
      <c r="F26" s="47" t="n">
        <f aca="false">F24+F25</f>
        <v>7.6</v>
      </c>
      <c r="G26" s="47" t="n">
        <f aca="false">G24+G25</f>
        <v>9.6</v>
      </c>
      <c r="H26" s="47" t="n">
        <f aca="false">H24+H25</f>
        <v>11.6</v>
      </c>
      <c r="I26" s="47" t="n">
        <f aca="false">I24+I25</f>
        <v>13.6</v>
      </c>
      <c r="J26" s="47" t="n">
        <f aca="false">J24+J25</f>
        <v>15.6</v>
      </c>
    </row>
    <row r="27" customFormat="false" ht="14.25" hidden="false" customHeight="false" outlineLevel="0" collapsed="false">
      <c r="B27" s="0" t="s">
        <v>140</v>
      </c>
      <c r="D27" s="43" t="n">
        <v>0.25</v>
      </c>
      <c r="E27" s="46"/>
      <c r="F27" s="46" t="n">
        <f aca="false">F26*-$D27</f>
        <v>-1.9</v>
      </c>
      <c r="G27" s="46" t="n">
        <f aca="false">G26*-$D27</f>
        <v>-2.4</v>
      </c>
      <c r="H27" s="46" t="n">
        <f aca="false">H26*-$D27</f>
        <v>-2.9</v>
      </c>
      <c r="I27" s="46" t="n">
        <f aca="false">I26*-$D27</f>
        <v>-3.4</v>
      </c>
      <c r="J27" s="46" t="n">
        <f aca="false">J26*-$D27</f>
        <v>-3.9</v>
      </c>
    </row>
    <row r="28" customFormat="false" ht="14.25" hidden="false" customHeight="false" outlineLevel="0" collapsed="false">
      <c r="B28" s="34" t="s">
        <v>141</v>
      </c>
      <c r="C28" s="34"/>
      <c r="D28" s="34"/>
      <c r="E28" s="47"/>
      <c r="F28" s="47" t="n">
        <f aca="false">F26+F27</f>
        <v>5.7</v>
      </c>
      <c r="G28" s="47" t="n">
        <f aca="false">G26+G27</f>
        <v>7.2</v>
      </c>
      <c r="H28" s="47" t="n">
        <f aca="false">H26+H27</f>
        <v>8.7</v>
      </c>
      <c r="I28" s="47" t="n">
        <f aca="false">I26+I27</f>
        <v>10.2</v>
      </c>
      <c r="J28" s="47" t="n">
        <f aca="false">J26+J27</f>
        <v>11.7</v>
      </c>
    </row>
    <row r="29" customFormat="false" ht="14.25" hidden="false" customHeight="false" outlineLevel="0" collapsed="false">
      <c r="B29" s="0" t="s">
        <v>142</v>
      </c>
      <c r="E29" s="46"/>
      <c r="F29" s="46" t="n">
        <f aca="false">-F23</f>
        <v>10</v>
      </c>
      <c r="G29" s="46" t="n">
        <f aca="false">-G23</f>
        <v>10</v>
      </c>
      <c r="H29" s="46" t="n">
        <f aca="false">-H23</f>
        <v>10</v>
      </c>
      <c r="I29" s="46" t="n">
        <f aca="false">-I23</f>
        <v>10</v>
      </c>
      <c r="J29" s="46" t="n">
        <f aca="false">-J23</f>
        <v>10</v>
      </c>
    </row>
    <row r="30" customFormat="false" ht="14.25" hidden="false" customHeight="false" outlineLevel="0" collapsed="false">
      <c r="B30" s="0" t="s">
        <v>143</v>
      </c>
      <c r="E30" s="46"/>
      <c r="F30" s="46" t="n">
        <v>-10</v>
      </c>
      <c r="G30" s="46" t="n">
        <v>-10</v>
      </c>
      <c r="H30" s="46" t="n">
        <v>-10</v>
      </c>
      <c r="I30" s="46" t="n">
        <v>-10</v>
      </c>
      <c r="J30" s="46" t="n">
        <v>-10</v>
      </c>
    </row>
    <row r="31" customFormat="false" ht="14.25" hidden="false" customHeight="false" outlineLevel="0" collapsed="false">
      <c r="B31" s="0" t="s">
        <v>144</v>
      </c>
      <c r="E31" s="46"/>
      <c r="F31" s="46" t="n">
        <v>0</v>
      </c>
      <c r="G31" s="46" t="n">
        <v>0</v>
      </c>
      <c r="H31" s="46" t="n">
        <v>0</v>
      </c>
      <c r="I31" s="46" t="n">
        <v>0</v>
      </c>
      <c r="J31" s="46" t="n">
        <v>0</v>
      </c>
    </row>
    <row r="32" customFormat="false" ht="14.25" hidden="false" customHeight="false" outlineLevel="0" collapsed="false">
      <c r="B32" s="34" t="s">
        <v>145</v>
      </c>
      <c r="C32" s="34"/>
      <c r="D32" s="34"/>
      <c r="E32" s="47"/>
      <c r="F32" s="47" t="n">
        <f aca="false">SUM(F28:F31)</f>
        <v>5.7</v>
      </c>
      <c r="G32" s="47" t="n">
        <f aca="false">SUM(G28:G31)</f>
        <v>7.2</v>
      </c>
      <c r="H32" s="47" t="n">
        <f aca="false">SUM(H28:H31)</f>
        <v>8.7</v>
      </c>
      <c r="I32" s="47" t="n">
        <f aca="false">SUM(I28:I31)</f>
        <v>10.2</v>
      </c>
      <c r="J32" s="47" t="n">
        <f aca="false">SUM(J28:J31)</f>
        <v>11.7</v>
      </c>
    </row>
    <row r="33" customFormat="false" ht="14.25" hidden="false" customHeight="false" outlineLevel="0" collapsed="false">
      <c r="B33" s="40" t="s">
        <v>146</v>
      </c>
      <c r="E33" s="46"/>
      <c r="F33" s="48" t="n">
        <f aca="false">SUM($E32:F32)</f>
        <v>5.7</v>
      </c>
      <c r="G33" s="48" t="n">
        <f aca="false">SUM($E32:G32)</f>
        <v>12.9</v>
      </c>
      <c r="H33" s="48" t="n">
        <f aca="false">SUM($E32:H32)</f>
        <v>21.6</v>
      </c>
      <c r="I33" s="48" t="n">
        <f aca="false">SUM($E32:I32)</f>
        <v>31.8</v>
      </c>
      <c r="J33" s="48" t="n">
        <f aca="false">SUM($E32:J32)</f>
        <v>43.5</v>
      </c>
    </row>
    <row r="35" customFormat="false" ht="14.25" hidden="false" customHeight="false" outlineLevel="0" collapsed="false">
      <c r="B35" s="37" t="s">
        <v>414</v>
      </c>
      <c r="C35" s="38"/>
      <c r="D35" s="38"/>
      <c r="E35" s="39"/>
      <c r="F35" s="39"/>
      <c r="G35" s="39"/>
      <c r="H35" s="39"/>
      <c r="I35" s="39"/>
      <c r="J35" s="39"/>
    </row>
    <row r="37" customFormat="false" ht="14.25" hidden="false" customHeight="false" outlineLevel="0" collapsed="false">
      <c r="B37" s="0" t="s">
        <v>456</v>
      </c>
      <c r="E37" s="46" t="n">
        <f aca="false">J18</f>
        <v>30</v>
      </c>
    </row>
    <row r="38" customFormat="false" ht="14.25" hidden="false" customHeight="false" outlineLevel="0" collapsed="false">
      <c r="B38" s="0" t="s">
        <v>149</v>
      </c>
      <c r="E38" s="32" t="n">
        <v>5</v>
      </c>
    </row>
    <row r="39" customFormat="false" ht="14.25" hidden="false" customHeight="false" outlineLevel="0" collapsed="false">
      <c r="B39" s="49" t="s">
        <v>150</v>
      </c>
      <c r="C39" s="49"/>
      <c r="D39" s="49"/>
      <c r="E39" s="50" t="n">
        <f aca="false">E37*E38</f>
        <v>150</v>
      </c>
    </row>
    <row r="40" customFormat="false" ht="14.25" hidden="false" customHeight="false" outlineLevel="0" collapsed="false">
      <c r="B40" s="0" t="s">
        <v>151</v>
      </c>
      <c r="E40" s="46" t="n">
        <f aca="false">-E12</f>
        <v>-44</v>
      </c>
    </row>
    <row r="41" customFormat="false" ht="14.25" hidden="false" customHeight="false" outlineLevel="0" collapsed="false">
      <c r="B41" s="0" t="s">
        <v>152</v>
      </c>
      <c r="E41" s="46" t="n">
        <f aca="false">J33</f>
        <v>43.5</v>
      </c>
    </row>
    <row r="42" customFormat="false" ht="14.25" hidden="false" customHeight="false" outlineLevel="0" collapsed="false">
      <c r="B42" s="49" t="s">
        <v>153</v>
      </c>
      <c r="C42" s="49"/>
      <c r="D42" s="49"/>
      <c r="E42" s="50" t="n">
        <f aca="false">SUM(E39:E41)</f>
        <v>149.5</v>
      </c>
    </row>
    <row r="43" customFormat="false" ht="14.25" hidden="false" customHeight="false" outlineLevel="0" collapsed="false">
      <c r="B43" s="0" t="s">
        <v>154</v>
      </c>
      <c r="E43" s="46" t="n">
        <f aca="false">E6</f>
        <v>66</v>
      </c>
    </row>
    <row r="45" customFormat="false" ht="14.25" hidden="false" customHeight="false" outlineLevel="0" collapsed="false">
      <c r="B45" s="0" t="s">
        <v>155</v>
      </c>
      <c r="E45" s="32" t="n">
        <f aca="false">E42/E43</f>
        <v>2.26515151515152</v>
      </c>
    </row>
    <row r="46" customFormat="false" ht="14.25" hidden="false" customHeight="false" outlineLevel="0" collapsed="false">
      <c r="B46" s="0" t="s">
        <v>156</v>
      </c>
      <c r="E46" s="21" t="n">
        <f aca="false">XIRR(E48:E49,B48:B49)</f>
        <v>0.177553256891098</v>
      </c>
    </row>
    <row r="48" customFormat="false" ht="14.25" hidden="false" customHeight="false" outlineLevel="0" collapsed="false">
      <c r="B48" s="135" t="n">
        <v>44926</v>
      </c>
      <c r="E48" s="46" t="n">
        <f aca="false">-E6</f>
        <v>-66</v>
      </c>
    </row>
    <row r="49" customFormat="false" ht="14.25" hidden="false" customHeight="false" outlineLevel="0" collapsed="false">
      <c r="B49" s="135" t="n">
        <v>46752</v>
      </c>
      <c r="E49" s="46" t="n">
        <f aca="false">E42</f>
        <v>149.5</v>
      </c>
    </row>
  </sheetData>
  <mergeCells count="3">
    <mergeCell ref="B2:J2"/>
    <mergeCell ref="B4:E4"/>
    <mergeCell ref="G4:J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2:K207"/>
  <sheetViews>
    <sheetView showFormulas="false" showGridLines="fals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J19" activeCellId="0" sqref="J19"/>
    </sheetView>
  </sheetViews>
  <sheetFormatPr defaultColWidth="8.73046875" defaultRowHeight="12.75" zeroHeight="false" outlineLevelRow="0" outlineLevelCol="0"/>
  <cols>
    <col collapsed="false" customWidth="true" hidden="false" outlineLevel="0" max="1" min="1" style="61" width="2.82"/>
    <col collapsed="false" customWidth="true" hidden="false" outlineLevel="0" max="2" min="2" style="61" width="11.54"/>
    <col collapsed="false" customWidth="false" hidden="false" outlineLevel="0" max="16384" min="3" style="61" width="8.73"/>
  </cols>
  <sheetData>
    <row r="2" customFormat="false" ht="12.75" hidden="false" customHeight="false" outlineLevel="0" collapsed="false">
      <c r="B2" s="63" t="s">
        <v>315</v>
      </c>
      <c r="C2" s="63"/>
      <c r="D2" s="63"/>
      <c r="E2" s="63"/>
      <c r="F2" s="63"/>
      <c r="G2" s="63"/>
      <c r="H2" s="63"/>
      <c r="I2" s="63"/>
      <c r="J2" s="63"/>
    </row>
    <row r="3" customFormat="false" ht="12.75" hidden="false" customHeight="false" outlineLevel="0" collapsed="false">
      <c r="B3" s="61" t="s">
        <v>317</v>
      </c>
      <c r="E3" s="96" t="n">
        <v>9</v>
      </c>
      <c r="G3" s="61" t="s">
        <v>318</v>
      </c>
      <c r="I3" s="96" t="n">
        <v>4</v>
      </c>
      <c r="J3" s="136" t="n">
        <v>0.0225</v>
      </c>
    </row>
    <row r="4" customFormat="false" ht="12.75" hidden="false" customHeight="false" outlineLevel="0" collapsed="false">
      <c r="B4" s="61" t="s">
        <v>320</v>
      </c>
      <c r="E4" s="96" t="n">
        <v>9</v>
      </c>
      <c r="G4" s="61" t="s">
        <v>321</v>
      </c>
      <c r="I4" s="96" t="n">
        <v>2</v>
      </c>
      <c r="J4" s="136" t="n">
        <v>0.0225</v>
      </c>
    </row>
    <row r="5" customFormat="false" ht="12.75" hidden="false" customHeight="false" outlineLevel="0" collapsed="false">
      <c r="B5" s="61" t="s">
        <v>323</v>
      </c>
      <c r="E5" s="97" t="n">
        <v>40</v>
      </c>
      <c r="G5" s="61" t="s">
        <v>324</v>
      </c>
      <c r="I5" s="67" t="n">
        <v>365</v>
      </c>
    </row>
    <row r="6" customFormat="false" ht="12.75" hidden="false" customHeight="false" outlineLevel="0" collapsed="false">
      <c r="B6" s="61" t="s">
        <v>326</v>
      </c>
      <c r="E6" s="67" t="n">
        <v>10</v>
      </c>
      <c r="G6" s="61" t="s">
        <v>327</v>
      </c>
      <c r="I6" s="92" t="n">
        <v>0.4</v>
      </c>
    </row>
    <row r="7" customFormat="false" ht="12.75" hidden="false" customHeight="false" outlineLevel="0" collapsed="false">
      <c r="B7" s="61" t="s">
        <v>329</v>
      </c>
      <c r="E7" s="67" t="n">
        <v>15</v>
      </c>
    </row>
    <row r="8" customFormat="false" ht="12.75" hidden="false" customHeight="false" outlineLevel="0" collapsed="false">
      <c r="B8" s="61" t="s">
        <v>331</v>
      </c>
      <c r="E8" s="137" t="n">
        <v>0.1</v>
      </c>
      <c r="G8" s="71" t="s">
        <v>332</v>
      </c>
      <c r="H8" s="72"/>
      <c r="I8" s="73" t="n">
        <v>1</v>
      </c>
      <c r="J8" s="74" t="s">
        <v>457</v>
      </c>
    </row>
    <row r="10" customFormat="false" ht="12.75" hidden="false" customHeight="false" outlineLevel="0" collapsed="false">
      <c r="B10" s="63" t="s">
        <v>79</v>
      </c>
      <c r="C10" s="63"/>
      <c r="D10" s="63"/>
      <c r="E10" s="63"/>
      <c r="G10" s="63" t="s">
        <v>80</v>
      </c>
      <c r="H10" s="63"/>
      <c r="I10" s="63"/>
      <c r="J10" s="63"/>
    </row>
    <row r="11" customFormat="false" ht="12.75" hidden="false" customHeight="false" outlineLevel="0" collapsed="false">
      <c r="B11" s="61" t="s">
        <v>335</v>
      </c>
      <c r="E11" s="75" t="n">
        <f aca="false">+I3*$E$5</f>
        <v>160</v>
      </c>
      <c r="G11" s="61" t="s">
        <v>336</v>
      </c>
      <c r="J11" s="75" t="n">
        <f aca="false">+E18</f>
        <v>440</v>
      </c>
    </row>
    <row r="12" customFormat="false" ht="12.75" hidden="false" customHeight="false" outlineLevel="0" collapsed="false">
      <c r="B12" s="61" t="s">
        <v>337</v>
      </c>
      <c r="E12" s="75" t="n">
        <f aca="false">+I4*$E$5</f>
        <v>80</v>
      </c>
      <c r="G12" s="61" t="s">
        <v>338</v>
      </c>
      <c r="J12" s="97" t="n">
        <v>5</v>
      </c>
    </row>
    <row r="13" customFormat="false" ht="12.75" hidden="false" customHeight="false" outlineLevel="0" collapsed="false">
      <c r="B13" s="61" t="s">
        <v>339</v>
      </c>
      <c r="E13" s="75" t="n">
        <f aca="false">+E18*E8</f>
        <v>44</v>
      </c>
      <c r="G13" s="61" t="s">
        <v>340</v>
      </c>
      <c r="J13" s="76" t="n">
        <f aca="false">+J3*E11+J4*E12</f>
        <v>5.4</v>
      </c>
    </row>
    <row r="14" customFormat="false" ht="12.75" hidden="false" customHeight="false" outlineLevel="0" collapsed="false">
      <c r="B14" s="61" t="s">
        <v>341</v>
      </c>
      <c r="E14" s="75" t="n">
        <f aca="false">E15-SUM(E11:E13)</f>
        <v>166.4</v>
      </c>
      <c r="J14" s="75"/>
    </row>
    <row r="15" customFormat="false" ht="12.75" hidden="false" customHeight="false" outlineLevel="0" collapsed="false">
      <c r="B15" s="77" t="s">
        <v>92</v>
      </c>
      <c r="C15" s="77"/>
      <c r="D15" s="77"/>
      <c r="E15" s="78" t="n">
        <f aca="false">J15</f>
        <v>450.4</v>
      </c>
      <c r="G15" s="77" t="s">
        <v>93</v>
      </c>
      <c r="H15" s="77"/>
      <c r="I15" s="77"/>
      <c r="J15" s="78" t="n">
        <f aca="false">SUM(J11:J14)</f>
        <v>450.4</v>
      </c>
    </row>
    <row r="17" customFormat="false" ht="12.75" hidden="false" customHeight="false" outlineLevel="0" collapsed="false">
      <c r="B17" s="63" t="s">
        <v>342</v>
      </c>
      <c r="C17" s="63"/>
      <c r="D17" s="63"/>
      <c r="E17" s="63"/>
      <c r="G17" s="79"/>
    </row>
    <row r="18" customFormat="false" ht="12.75" hidden="false" customHeight="false" outlineLevel="0" collapsed="false">
      <c r="B18" s="61" t="s">
        <v>85</v>
      </c>
      <c r="E18" s="75" t="n">
        <f aca="false">+E3*E5</f>
        <v>440</v>
      </c>
      <c r="G18" s="80"/>
    </row>
    <row r="19" customFormat="false" ht="12.75" hidden="false" customHeight="false" outlineLevel="0" collapsed="false">
      <c r="B19" s="61" t="s">
        <v>343</v>
      </c>
      <c r="E19" s="97" t="n">
        <v>-100</v>
      </c>
      <c r="G19" s="79"/>
    </row>
    <row r="20" customFormat="false" ht="12.75" hidden="false" customHeight="false" outlineLevel="0" collapsed="false">
      <c r="B20" s="81" t="s">
        <v>344</v>
      </c>
      <c r="C20" s="81"/>
      <c r="D20" s="81"/>
      <c r="E20" s="82" t="n">
        <f aca="false">SUM(E18:E19)</f>
        <v>340</v>
      </c>
      <c r="G20" s="79"/>
    </row>
    <row r="21" customFormat="false" ht="12.75" hidden="false" customHeight="false" outlineLevel="0" collapsed="false">
      <c r="B21" s="61" t="s">
        <v>345</v>
      </c>
      <c r="D21" s="92" t="n">
        <v>0.15</v>
      </c>
      <c r="E21" s="75" t="n">
        <f aca="false">+-E20*D21</f>
        <v>-51</v>
      </c>
      <c r="G21" s="79"/>
    </row>
    <row r="22" customFormat="false" ht="12.75" hidden="false" customHeight="false" outlineLevel="0" collapsed="false">
      <c r="B22" s="61" t="s">
        <v>346</v>
      </c>
      <c r="D22" s="92" t="n">
        <v>0.4</v>
      </c>
      <c r="E22" s="75" t="n">
        <f aca="false">+-E21*D22</f>
        <v>20.4</v>
      </c>
      <c r="G22" s="79"/>
    </row>
    <row r="23" customFormat="false" ht="12.75" hidden="false" customHeight="false" outlineLevel="0" collapsed="false">
      <c r="B23" s="83" t="s">
        <v>347</v>
      </c>
      <c r="C23" s="83"/>
      <c r="D23" s="83"/>
      <c r="E23" s="84" t="n">
        <f aca="false">SUM(E20:E22)</f>
        <v>309.4</v>
      </c>
    </row>
    <row r="25" customFormat="false" ht="12.75" hidden="false" customHeight="false" outlineLevel="0" collapsed="false">
      <c r="A25" s="61" t="s">
        <v>348</v>
      </c>
      <c r="B25" s="85" t="s">
        <v>349</v>
      </c>
      <c r="C25" s="85"/>
      <c r="D25" s="85"/>
      <c r="E25" s="85" t="n">
        <v>2013</v>
      </c>
      <c r="F25" s="85" t="n">
        <f aca="false">E25+1</f>
        <v>2014</v>
      </c>
      <c r="G25" s="85" t="n">
        <f aca="false">F25+1</f>
        <v>2015</v>
      </c>
      <c r="H25" s="85" t="n">
        <f aca="false">G25+1</f>
        <v>2016</v>
      </c>
      <c r="I25" s="85" t="n">
        <f aca="false">H25+1</f>
        <v>2017</v>
      </c>
      <c r="J25" s="85" t="n">
        <f aca="false">I25+1</f>
        <v>2018</v>
      </c>
    </row>
    <row r="26" customFormat="false" ht="12.75" hidden="false" customHeight="false" outlineLevel="0" collapsed="false">
      <c r="B26" s="86" t="s">
        <v>117</v>
      </c>
      <c r="C26" s="86"/>
      <c r="D26" s="86"/>
      <c r="E26" s="84" t="n">
        <f aca="false">+E31/E32</f>
        <v>100</v>
      </c>
      <c r="F26" s="84" t="n">
        <f aca="false">+E26*(1+F27)</f>
        <v>105</v>
      </c>
      <c r="G26" s="84" t="n">
        <f aca="false">+F26*(1+G27)</f>
        <v>110.25</v>
      </c>
      <c r="H26" s="84" t="n">
        <f aca="false">+G26*(1+H27)</f>
        <v>115.7625</v>
      </c>
      <c r="I26" s="84" t="n">
        <f aca="false">+H26*(1+I27)</f>
        <v>121.550625</v>
      </c>
      <c r="J26" s="84" t="n">
        <f aca="false">+I26*(1+J27)</f>
        <v>127.62815625</v>
      </c>
    </row>
    <row r="27" customFormat="false" ht="12.75" hidden="false" customHeight="false" outlineLevel="0" collapsed="false">
      <c r="B27" s="87" t="s">
        <v>350</v>
      </c>
      <c r="F27" s="88" t="n">
        <v>0.05</v>
      </c>
      <c r="G27" s="88" t="n">
        <f aca="false">+F27</f>
        <v>0.05</v>
      </c>
      <c r="H27" s="88" t="n">
        <f aca="false">+G27</f>
        <v>0.05</v>
      </c>
      <c r="I27" s="88" t="n">
        <f aca="false">+H27</f>
        <v>0.05</v>
      </c>
      <c r="J27" s="88" t="n">
        <f aca="false">+I27</f>
        <v>0.05</v>
      </c>
    </row>
    <row r="28" customFormat="false" ht="12.75" hidden="false" customHeight="false" outlineLevel="0" collapsed="false">
      <c r="B28" s="61" t="s">
        <v>351</v>
      </c>
      <c r="E28" s="75" t="n">
        <f aca="false">E29-E26</f>
        <v>-40</v>
      </c>
      <c r="F28" s="75" t="n">
        <f aca="false">F29-F26</f>
        <v>-42</v>
      </c>
      <c r="G28" s="75" t="n">
        <f aca="false">G29-G26</f>
        <v>-44.1</v>
      </c>
      <c r="H28" s="75" t="n">
        <f aca="false">H29-H26</f>
        <v>-46.305</v>
      </c>
      <c r="I28" s="75" t="n">
        <f aca="false">I29-I26</f>
        <v>-48.62025</v>
      </c>
      <c r="J28" s="75" t="n">
        <f aca="false">J29-J26</f>
        <v>-51.0512625</v>
      </c>
    </row>
    <row r="29" customFormat="false" ht="12.75" hidden="false" customHeight="false" outlineLevel="0" collapsed="false">
      <c r="B29" s="83" t="s">
        <v>352</v>
      </c>
      <c r="C29" s="83"/>
      <c r="D29" s="83"/>
      <c r="E29" s="84" t="n">
        <f aca="false">+E26*E30</f>
        <v>60</v>
      </c>
      <c r="F29" s="84" t="n">
        <f aca="false">+F26*F30</f>
        <v>63</v>
      </c>
      <c r="G29" s="84" t="n">
        <f aca="false">+G26*G30</f>
        <v>66.15</v>
      </c>
      <c r="H29" s="84" t="n">
        <f aca="false">+H26*H30</f>
        <v>69.4575</v>
      </c>
      <c r="I29" s="84" t="n">
        <f aca="false">+I26*I30</f>
        <v>72.930375</v>
      </c>
      <c r="J29" s="84" t="n">
        <f aca="false">+J26*J30</f>
        <v>76.57689375</v>
      </c>
    </row>
    <row r="30" customFormat="false" ht="12.75" hidden="false" customHeight="false" outlineLevel="0" collapsed="false">
      <c r="B30" s="87" t="s">
        <v>353</v>
      </c>
      <c r="E30" s="88" t="n">
        <v>0.6</v>
      </c>
      <c r="F30" s="88" t="n">
        <f aca="false">+E30</f>
        <v>0.6</v>
      </c>
      <c r="G30" s="88" t="n">
        <f aca="false">+F30</f>
        <v>0.6</v>
      </c>
      <c r="H30" s="88" t="n">
        <f aca="false">+G30</f>
        <v>0.6</v>
      </c>
      <c r="I30" s="88" t="n">
        <f aca="false">+H30</f>
        <v>0.6</v>
      </c>
      <c r="J30" s="88" t="n">
        <f aca="false">+I30</f>
        <v>0.6</v>
      </c>
    </row>
    <row r="31" customFormat="false" ht="12.75" hidden="false" customHeight="false" outlineLevel="0" collapsed="false">
      <c r="B31" s="86" t="s">
        <v>125</v>
      </c>
      <c r="C31" s="86"/>
      <c r="D31" s="86"/>
      <c r="E31" s="89" t="n">
        <f aca="false">+E5</f>
        <v>40</v>
      </c>
      <c r="F31" s="89" t="n">
        <f aca="false">+F26*F32</f>
        <v>42</v>
      </c>
      <c r="G31" s="89" t="n">
        <f aca="false">+G26*G32</f>
        <v>44.1</v>
      </c>
      <c r="H31" s="89" t="n">
        <f aca="false">+H26*H32</f>
        <v>46.305</v>
      </c>
      <c r="I31" s="89" t="n">
        <f aca="false">+I26*I32</f>
        <v>48.62025</v>
      </c>
      <c r="J31" s="89" t="n">
        <f aca="false">+J26*J32</f>
        <v>51.0512625</v>
      </c>
    </row>
    <row r="32" customFormat="false" ht="12.75" hidden="false" customHeight="false" outlineLevel="0" collapsed="false">
      <c r="B32" s="90" t="s">
        <v>354</v>
      </c>
      <c r="E32" s="88" t="n">
        <v>0.4</v>
      </c>
      <c r="F32" s="88" t="n">
        <f aca="false">+E32</f>
        <v>0.4</v>
      </c>
      <c r="G32" s="88" t="n">
        <f aca="false">+F32</f>
        <v>0.4</v>
      </c>
      <c r="H32" s="88" t="n">
        <f aca="false">+G32</f>
        <v>0.4</v>
      </c>
      <c r="I32" s="88" t="n">
        <f aca="false">+H32</f>
        <v>0.4</v>
      </c>
      <c r="J32" s="88" t="n">
        <f aca="false">+I32</f>
        <v>0.4</v>
      </c>
    </row>
    <row r="33" customFormat="false" ht="12.75" hidden="false" customHeight="false" outlineLevel="0" collapsed="false">
      <c r="B33" s="61" t="s">
        <v>136</v>
      </c>
      <c r="F33" s="75" t="n">
        <f aca="false">+-F26*F46+F42</f>
        <v>-6.55</v>
      </c>
      <c r="G33" s="75" t="n">
        <f aca="false">+-G26*G46+G42</f>
        <v>-5.9075</v>
      </c>
      <c r="H33" s="75" t="n">
        <f aca="false">+-H26*H46+H42</f>
        <v>-6.072875</v>
      </c>
      <c r="I33" s="75" t="n">
        <f aca="false">+-I26*I46+I42</f>
        <v>-6.24651875</v>
      </c>
      <c r="J33" s="75" t="n">
        <f aca="false">+-J26*J46+J42</f>
        <v>-6.4288446875</v>
      </c>
    </row>
    <row r="34" customFormat="false" ht="12.75" hidden="false" customHeight="false" outlineLevel="0" collapsed="false">
      <c r="B34" s="83" t="s">
        <v>137</v>
      </c>
      <c r="C34" s="83"/>
      <c r="D34" s="83"/>
      <c r="E34" s="83"/>
      <c r="F34" s="84" t="n">
        <f aca="false">+F31+F33</f>
        <v>35.45</v>
      </c>
      <c r="G34" s="84" t="n">
        <f aca="false">+G31+G33</f>
        <v>38.1925</v>
      </c>
      <c r="H34" s="84" t="n">
        <f aca="false">+H31+H33</f>
        <v>40.232125</v>
      </c>
      <c r="I34" s="84" t="n">
        <f aca="false">+I31+I33</f>
        <v>42.37373125</v>
      </c>
      <c r="J34" s="84" t="n">
        <f aca="false">+J31+J33</f>
        <v>44.6224178125</v>
      </c>
    </row>
    <row r="35" customFormat="false" ht="12.75" hidden="false" customHeight="false" outlineLevel="0" collapsed="false">
      <c r="B35" s="61" t="s">
        <v>355</v>
      </c>
      <c r="F35" s="91" t="n">
        <f aca="false">+circ*F150</f>
        <v>-20.6466654342737</v>
      </c>
      <c r="G35" s="91" t="n">
        <f aca="false">+circ*G150</f>
        <v>-20.7720528266079</v>
      </c>
      <c r="H35" s="91" t="n">
        <f aca="false">+circ*H150</f>
        <v>-20.6923373690288</v>
      </c>
      <c r="I35" s="91" t="n">
        <f aca="false">+circ*I150</f>
        <v>-20.5581827924645</v>
      </c>
      <c r="J35" s="91" t="n">
        <f aca="false">+circ*J150</f>
        <v>-20.3317511704836</v>
      </c>
    </row>
    <row r="36" customFormat="false" ht="12.75" hidden="false" customHeight="false" outlineLevel="0" collapsed="false">
      <c r="B36" s="61" t="s">
        <v>356</v>
      </c>
      <c r="F36" s="91" t="n">
        <f aca="false">+circ*F148</f>
        <v>0.025</v>
      </c>
      <c r="G36" s="91" t="n">
        <f aca="false">+circ*G148</f>
        <v>0.058</v>
      </c>
      <c r="H36" s="91" t="n">
        <f aca="false">+circ*H148</f>
        <v>0.074</v>
      </c>
      <c r="I36" s="91" t="n">
        <f aca="false">+circ*I148</f>
        <v>0.09</v>
      </c>
      <c r="J36" s="91" t="n">
        <f aca="false">+circ*J148</f>
        <v>0.106</v>
      </c>
    </row>
    <row r="37" customFormat="false" ht="12.75" hidden="false" customHeight="false" outlineLevel="0" collapsed="false">
      <c r="B37" s="61" t="s">
        <v>357</v>
      </c>
      <c r="F37" s="75" t="n">
        <f aca="false">+-$J$13/$E$6</f>
        <v>-0.54</v>
      </c>
      <c r="G37" s="75" t="n">
        <f aca="false">+-$J$13/$E$6</f>
        <v>-0.54</v>
      </c>
      <c r="H37" s="75" t="n">
        <f aca="false">+-$J$13/$E$6</f>
        <v>-0.54</v>
      </c>
      <c r="I37" s="75" t="n">
        <f aca="false">+-$J$13/$E$6</f>
        <v>-0.54</v>
      </c>
      <c r="J37" s="75" t="n">
        <f aca="false">+-$J$13/$E$6</f>
        <v>-0.54</v>
      </c>
    </row>
    <row r="38" customFormat="false" ht="12.75" hidden="false" customHeight="false" outlineLevel="0" collapsed="false">
      <c r="B38" s="83" t="s">
        <v>139</v>
      </c>
      <c r="C38" s="83"/>
      <c r="D38" s="83"/>
      <c r="E38" s="83"/>
      <c r="F38" s="84" t="n">
        <f aca="false">SUM(F34:F37)</f>
        <v>15.0883345657263</v>
      </c>
      <c r="G38" s="84" t="n">
        <f aca="false">SUM(G34:G37)</f>
        <v>16.9384471733921</v>
      </c>
      <c r="H38" s="84" t="n">
        <f aca="false">SUM(H34:H37)</f>
        <v>19.0737876309712</v>
      </c>
      <c r="I38" s="84" t="n">
        <f aca="false">SUM(I34:I37)</f>
        <v>21.3655484575355</v>
      </c>
      <c r="J38" s="84" t="n">
        <f aca="false">SUM(J34:J37)</f>
        <v>23.8566666420165</v>
      </c>
    </row>
    <row r="39" customFormat="false" ht="12.75" hidden="false" customHeight="false" outlineLevel="0" collapsed="false">
      <c r="B39" s="61" t="s">
        <v>140</v>
      </c>
      <c r="F39" s="75" t="n">
        <f aca="false">+-F38*$I$6</f>
        <v>-6.03327651600173</v>
      </c>
      <c r="G39" s="75" t="n">
        <f aca="false">+-G38*$I$6</f>
        <v>-6.74648886442253</v>
      </c>
      <c r="H39" s="75" t="n">
        <f aca="false">+-H38*$I$6</f>
        <v>-7.55880263374377</v>
      </c>
      <c r="I39" s="75" t="n">
        <f aca="false">+-I38*$I$6</f>
        <v>-8.4476137041437</v>
      </c>
      <c r="J39" s="75" t="n">
        <f aca="false">+-J38*$I$6</f>
        <v>-9.42330074834795</v>
      </c>
    </row>
    <row r="40" customFormat="false" ht="12.75" hidden="false" customHeight="false" outlineLevel="0" collapsed="false">
      <c r="B40" s="83" t="s">
        <v>141</v>
      </c>
      <c r="C40" s="83"/>
      <c r="D40" s="83"/>
      <c r="E40" s="83"/>
      <c r="F40" s="84" t="n">
        <f aca="false">SUM(F38:F39)</f>
        <v>9.05505804972453</v>
      </c>
      <c r="G40" s="84" t="n">
        <f aca="false">SUM(G38:G39)</f>
        <v>10.1919583089696</v>
      </c>
      <c r="H40" s="84" t="n">
        <f aca="false">SUM(H38:H39)</f>
        <v>11.5149849972275</v>
      </c>
      <c r="I40" s="84" t="n">
        <f aca="false">SUM(I38:I39)</f>
        <v>12.9179347533918</v>
      </c>
      <c r="J40" s="84" t="n">
        <f aca="false">SUM(J38:J39)</f>
        <v>14.4333658936685</v>
      </c>
    </row>
    <row r="41" customFormat="false" ht="12.75" hidden="false" customHeight="false" outlineLevel="0" collapsed="false">
      <c r="F41" s="75"/>
      <c r="G41" s="75"/>
      <c r="H41" s="75"/>
      <c r="I41" s="75"/>
      <c r="J41" s="75"/>
    </row>
    <row r="42" customFormat="false" ht="12.75" hidden="false" customHeight="false" outlineLevel="0" collapsed="false">
      <c r="B42" s="61" t="s">
        <v>358</v>
      </c>
      <c r="F42" s="75" t="n">
        <f aca="false">+$E$21/$E$7</f>
        <v>-3.4</v>
      </c>
      <c r="G42" s="75" t="n">
        <f aca="false">+$E$21/$E$7</f>
        <v>-2.6</v>
      </c>
      <c r="H42" s="75" t="n">
        <f aca="false">+$E$21/$E$7</f>
        <v>-2.6</v>
      </c>
      <c r="I42" s="75" t="n">
        <f aca="false">+$E$21/$E$7</f>
        <v>-2.6</v>
      </c>
      <c r="J42" s="75" t="n">
        <f aca="false">+$E$21/$E$7</f>
        <v>-2.6</v>
      </c>
    </row>
    <row r="43" customFormat="false" ht="12.75" hidden="false" customHeight="false" outlineLevel="0" collapsed="false">
      <c r="B43" s="61" t="s">
        <v>346</v>
      </c>
      <c r="F43" s="75" t="n">
        <f aca="false">+F42*$D$22</f>
        <v>-1.04</v>
      </c>
      <c r="G43" s="75" t="n">
        <f aca="false">+G42*$D$22</f>
        <v>-1.04</v>
      </c>
      <c r="H43" s="75" t="n">
        <f aca="false">+H42*$D$22</f>
        <v>-1.04</v>
      </c>
      <c r="I43" s="75" t="n">
        <f aca="false">+I42*$D$22</f>
        <v>-1.04</v>
      </c>
      <c r="J43" s="75" t="n">
        <f aca="false">+J42*$D$22</f>
        <v>-1.04</v>
      </c>
    </row>
    <row r="44" customFormat="false" ht="12.75" hidden="false" customHeight="false" outlineLevel="0" collapsed="false">
      <c r="B44" s="61" t="s">
        <v>359</v>
      </c>
      <c r="F44" s="75" t="n">
        <f aca="false">-F47*F33</f>
        <v>5.24</v>
      </c>
      <c r="G44" s="75" t="n">
        <f aca="false">-G47*G33</f>
        <v>4.726</v>
      </c>
      <c r="H44" s="75" t="n">
        <f aca="false">-H47*H33</f>
        <v>4.8583</v>
      </c>
      <c r="I44" s="75" t="n">
        <f aca="false">-I47*I33</f>
        <v>4.997215</v>
      </c>
      <c r="J44" s="75" t="n">
        <f aca="false">-J47*J33</f>
        <v>5.14307575</v>
      </c>
    </row>
    <row r="46" customFormat="false" ht="12.75" hidden="false" customHeight="false" outlineLevel="0" collapsed="false">
      <c r="B46" s="61" t="s">
        <v>360</v>
      </c>
      <c r="F46" s="92" t="n">
        <v>0.03</v>
      </c>
      <c r="G46" s="92" t="n">
        <f aca="false">+F46</f>
        <v>0.03</v>
      </c>
      <c r="H46" s="92" t="n">
        <f aca="false">+G46</f>
        <v>0.03</v>
      </c>
      <c r="I46" s="92" t="n">
        <f aca="false">+H46</f>
        <v>0.03</v>
      </c>
      <c r="J46" s="92" t="n">
        <f aca="false">+I46</f>
        <v>0.03</v>
      </c>
    </row>
    <row r="47" customFormat="false" ht="12.75" hidden="false" customHeight="false" outlineLevel="0" collapsed="false">
      <c r="B47" s="61" t="s">
        <v>361</v>
      </c>
      <c r="F47" s="92" t="n">
        <v>0.8</v>
      </c>
      <c r="G47" s="92" t="n">
        <f aca="false">+F47</f>
        <v>0.8</v>
      </c>
      <c r="H47" s="92" t="n">
        <f aca="false">+G47</f>
        <v>0.8</v>
      </c>
      <c r="I47" s="92" t="n">
        <f aca="false">+H47</f>
        <v>0.8</v>
      </c>
      <c r="J47" s="92" t="n">
        <f aca="false">+I47</f>
        <v>0.8</v>
      </c>
    </row>
    <row r="49" customFormat="false" ht="12.75" hidden="false" customHeight="false" outlineLevel="0" collapsed="false">
      <c r="A49" s="61" t="s">
        <v>348</v>
      </c>
      <c r="B49" s="85" t="s">
        <v>362</v>
      </c>
      <c r="C49" s="85"/>
      <c r="D49" s="85"/>
      <c r="E49" s="85" t="n">
        <v>2013</v>
      </c>
      <c r="F49" s="85" t="n">
        <f aca="false">E49+1</f>
        <v>2014</v>
      </c>
      <c r="G49" s="85" t="n">
        <f aca="false">F49+1</f>
        <v>2015</v>
      </c>
      <c r="H49" s="85" t="n">
        <f aca="false">G49+1</f>
        <v>2016</v>
      </c>
      <c r="I49" s="85" t="n">
        <f aca="false">H49+1</f>
        <v>2017</v>
      </c>
      <c r="J49" s="85" t="n">
        <f aca="false">I49+1</f>
        <v>2018</v>
      </c>
    </row>
    <row r="50" customFormat="false" ht="12.75" hidden="false" customHeight="false" outlineLevel="0" collapsed="false">
      <c r="B50" s="61" t="s">
        <v>363</v>
      </c>
      <c r="E50" s="75" t="n">
        <f aca="false">+E26*E57/$I$5</f>
        <v>21.9178082191781</v>
      </c>
      <c r="F50" s="75" t="n">
        <f aca="false">+F26*F57/$I$5</f>
        <v>23.013698630137</v>
      </c>
      <c r="G50" s="75" t="n">
        <f aca="false">+G26*G57/$I$5</f>
        <v>24.1643835616438</v>
      </c>
      <c r="H50" s="75" t="n">
        <f aca="false">+H26*H57/$I$5</f>
        <v>25.372602739726</v>
      </c>
      <c r="I50" s="75" t="n">
        <f aca="false">+I26*I57/$I$5</f>
        <v>26.6412328767123</v>
      </c>
      <c r="J50" s="75" t="n">
        <f aca="false">+J26*J57/$I$5</f>
        <v>27.973294520548</v>
      </c>
    </row>
    <row r="51" customFormat="false" ht="12.75" hidden="false" customHeight="false" outlineLevel="0" collapsed="false">
      <c r="B51" s="61" t="s">
        <v>364</v>
      </c>
      <c r="E51" s="75" t="n">
        <f aca="false">-E28/E58</f>
        <v>80</v>
      </c>
      <c r="F51" s="75" t="n">
        <f aca="false">-F28/F58</f>
        <v>84</v>
      </c>
      <c r="G51" s="75" t="n">
        <f aca="false">-G28/G58</f>
        <v>88.2</v>
      </c>
      <c r="H51" s="75" t="n">
        <f aca="false">-H28/H58</f>
        <v>92.61</v>
      </c>
      <c r="I51" s="75" t="n">
        <f aca="false">-I28/I58</f>
        <v>97.2405</v>
      </c>
      <c r="J51" s="75" t="n">
        <f aca="false">-J28/J58</f>
        <v>102.102525</v>
      </c>
    </row>
    <row r="52" customFormat="false" ht="12.75" hidden="false" customHeight="false" outlineLevel="0" collapsed="false">
      <c r="B52" s="61" t="s">
        <v>365</v>
      </c>
      <c r="E52" s="75" t="n">
        <f aca="false">-E28*E59/$I$5</f>
        <v>13.1506849315068</v>
      </c>
      <c r="F52" s="75" t="n">
        <f aca="false">-F28*F59/$I$5</f>
        <v>13.8082191780822</v>
      </c>
      <c r="G52" s="75" t="n">
        <f aca="false">-G28*G59/$I$5</f>
        <v>14.4986301369863</v>
      </c>
      <c r="H52" s="75" t="n">
        <f aca="false">-H28*H59/$I$5</f>
        <v>15.2235616438356</v>
      </c>
      <c r="I52" s="75" t="n">
        <f aca="false">-I28*I59/$I$5</f>
        <v>15.9847397260274</v>
      </c>
      <c r="J52" s="75" t="n">
        <f aca="false">-J28*J59/$I$5</f>
        <v>16.7839767123288</v>
      </c>
    </row>
    <row r="53" customFormat="false" ht="12.75" hidden="false" customHeight="false" outlineLevel="0" collapsed="false">
      <c r="B53" s="81" t="s">
        <v>366</v>
      </c>
      <c r="C53" s="81"/>
      <c r="D53" s="81"/>
      <c r="E53" s="82" t="n">
        <f aca="false">+E50+E51-E52</f>
        <v>88.7671232876712</v>
      </c>
      <c r="F53" s="82" t="n">
        <f aca="false">+F50+F51-F52</f>
        <v>93.2054794520548</v>
      </c>
      <c r="G53" s="82" t="n">
        <f aca="false">+G50+G51-G52</f>
        <v>97.8657534246575</v>
      </c>
      <c r="H53" s="82" t="n">
        <f aca="false">+H50+H51-H52</f>
        <v>102.75904109589</v>
      </c>
      <c r="I53" s="82" t="n">
        <f aca="false">+I50+I51-I52</f>
        <v>107.896993150685</v>
      </c>
      <c r="J53" s="82" t="n">
        <f aca="false">+J50+J51-J52</f>
        <v>113.291842808219</v>
      </c>
    </row>
    <row r="54" customFormat="false" ht="12.75" hidden="false" customHeight="false" outlineLevel="0" collapsed="false">
      <c r="B54" s="61" t="s">
        <v>367</v>
      </c>
      <c r="E54" s="75"/>
      <c r="F54" s="75" t="n">
        <f aca="false">+F53-E53</f>
        <v>4.43835616438355</v>
      </c>
      <c r="G54" s="75" t="n">
        <f aca="false">+G53-F53</f>
        <v>4.66027397260275</v>
      </c>
      <c r="H54" s="75" t="n">
        <f aca="false">+H53-G53</f>
        <v>4.89328767123288</v>
      </c>
      <c r="I54" s="75" t="n">
        <f aca="false">+I53-H53</f>
        <v>5.13795205479454</v>
      </c>
      <c r="J54" s="75" t="n">
        <f aca="false">+J53-I53</f>
        <v>5.39484965753422</v>
      </c>
    </row>
    <row r="56" customFormat="false" ht="12.75" hidden="false" customHeight="false" outlineLevel="0" collapsed="false">
      <c r="B56" s="93" t="s">
        <v>368</v>
      </c>
    </row>
    <row r="57" customFormat="false" ht="12.75" hidden="false" customHeight="false" outlineLevel="0" collapsed="false">
      <c r="B57" s="61" t="s">
        <v>363</v>
      </c>
      <c r="E57" s="95" t="n">
        <v>80</v>
      </c>
      <c r="F57" s="95" t="n">
        <f aca="false">+E57</f>
        <v>80</v>
      </c>
      <c r="G57" s="95" t="n">
        <f aca="false">+F57</f>
        <v>80</v>
      </c>
      <c r="H57" s="95" t="n">
        <f aca="false">+G57</f>
        <v>80</v>
      </c>
      <c r="I57" s="95" t="n">
        <f aca="false">+H57</f>
        <v>80</v>
      </c>
      <c r="J57" s="95" t="n">
        <f aca="false">+I57</f>
        <v>80</v>
      </c>
    </row>
    <row r="58" customFormat="false" ht="12.75" hidden="false" customHeight="false" outlineLevel="0" collapsed="false">
      <c r="B58" s="61" t="s">
        <v>364</v>
      </c>
      <c r="E58" s="96" t="n">
        <v>0.5</v>
      </c>
      <c r="F58" s="96" t="n">
        <f aca="false">+E58</f>
        <v>0.5</v>
      </c>
      <c r="G58" s="96" t="n">
        <f aca="false">+F58</f>
        <v>0.5</v>
      </c>
      <c r="H58" s="96" t="n">
        <f aca="false">+G58</f>
        <v>0.5</v>
      </c>
      <c r="I58" s="96" t="n">
        <f aca="false">+H58</f>
        <v>0.5</v>
      </c>
      <c r="J58" s="96" t="n">
        <f aca="false">+I58</f>
        <v>0.5</v>
      </c>
    </row>
    <row r="59" customFormat="false" ht="12.75" hidden="false" customHeight="false" outlineLevel="0" collapsed="false">
      <c r="B59" s="61" t="s">
        <v>365</v>
      </c>
      <c r="E59" s="95" t="n">
        <v>120</v>
      </c>
      <c r="F59" s="95" t="n">
        <f aca="false">+E59</f>
        <v>120</v>
      </c>
      <c r="G59" s="95" t="n">
        <f aca="false">+F59</f>
        <v>120</v>
      </c>
      <c r="H59" s="95" t="n">
        <f aca="false">+G59</f>
        <v>120</v>
      </c>
      <c r="I59" s="95" t="n">
        <f aca="false">+H59</f>
        <v>120</v>
      </c>
      <c r="J59" s="95" t="n">
        <f aca="false">+I59</f>
        <v>120</v>
      </c>
    </row>
    <row r="61" customFormat="false" ht="12.75" hidden="false" customHeight="false" outlineLevel="0" collapsed="false">
      <c r="A61" s="61" t="s">
        <v>348</v>
      </c>
      <c r="B61" s="85" t="s">
        <v>369</v>
      </c>
      <c r="C61" s="85"/>
      <c r="D61" s="85"/>
      <c r="E61" s="85" t="n">
        <v>2013</v>
      </c>
      <c r="F61" s="85" t="n">
        <f aca="false">E61+1</f>
        <v>2014</v>
      </c>
      <c r="G61" s="85" t="n">
        <f aca="false">F61+1</f>
        <v>2015</v>
      </c>
      <c r="H61" s="85" t="n">
        <f aca="false">G61+1</f>
        <v>2016</v>
      </c>
      <c r="I61" s="85" t="n">
        <f aca="false">H61+1</f>
        <v>2017</v>
      </c>
      <c r="J61" s="85" t="n">
        <f aca="false">I61+1</f>
        <v>2018</v>
      </c>
    </row>
    <row r="62" customFormat="false" ht="12.75" hidden="false" customHeight="false" outlineLevel="0" collapsed="false">
      <c r="B62" s="61" t="s">
        <v>370</v>
      </c>
      <c r="E62" s="97" t="n">
        <v>0</v>
      </c>
      <c r="F62" s="76" t="n">
        <f aca="false">+E62+F92</f>
        <v>5</v>
      </c>
      <c r="G62" s="76" t="n">
        <f aca="false">+F62+G92</f>
        <v>6.6</v>
      </c>
      <c r="H62" s="76" t="n">
        <f aca="false">+G62+H92</f>
        <v>8.2</v>
      </c>
      <c r="I62" s="76" t="n">
        <f aca="false">+H62+I92</f>
        <v>9.8</v>
      </c>
      <c r="J62" s="76" t="n">
        <f aca="false">+I62+J92</f>
        <v>11.4</v>
      </c>
    </row>
    <row r="63" customFormat="false" ht="12.75" hidden="false" customHeight="false" outlineLevel="0" collapsed="false">
      <c r="E63" s="97"/>
      <c r="F63" s="76"/>
      <c r="G63" s="76"/>
      <c r="H63" s="76"/>
      <c r="I63" s="76"/>
      <c r="J63" s="76"/>
    </row>
    <row r="64" customFormat="false" ht="12.75" hidden="false" customHeight="false" outlineLevel="0" collapsed="false">
      <c r="B64" s="61" t="s">
        <v>371</v>
      </c>
      <c r="E64" s="97" t="n">
        <v>0</v>
      </c>
      <c r="F64" s="76" t="n">
        <f aca="false">+F111</f>
        <v>0</v>
      </c>
      <c r="G64" s="76" t="n">
        <f aca="false">+G111</f>
        <v>0</v>
      </c>
      <c r="H64" s="76" t="n">
        <f aca="false">+H111</f>
        <v>0</v>
      </c>
      <c r="I64" s="76" t="n">
        <f aca="false">+I111</f>
        <v>0</v>
      </c>
      <c r="J64" s="76" t="n">
        <f aca="false">+J111</f>
        <v>0</v>
      </c>
    </row>
    <row r="65" customFormat="false" ht="12.75" hidden="false" customHeight="false" outlineLevel="0" collapsed="false">
      <c r="B65" s="61" t="s">
        <v>335</v>
      </c>
      <c r="E65" s="76" t="n">
        <f aca="false">+E11</f>
        <v>160</v>
      </c>
      <c r="F65" s="76" t="n">
        <f aca="false">+F121</f>
        <v>152.533298122107</v>
      </c>
      <c r="G65" s="76" t="n">
        <f aca="false">+G121</f>
        <v>138.619068139604</v>
      </c>
      <c r="H65" s="76" t="n">
        <f aca="false">+H121</f>
        <v>123.04509707252</v>
      </c>
      <c r="I65" s="76" t="n">
        <f aca="false">+I121</f>
        <v>105.126347228334</v>
      </c>
      <c r="J65" s="76" t="n">
        <f aca="false">+J121</f>
        <v>88.8648771657707</v>
      </c>
    </row>
    <row r="66" customFormat="false" ht="12.75" hidden="false" customHeight="false" outlineLevel="0" collapsed="false">
      <c r="B66" s="61" t="s">
        <v>337</v>
      </c>
      <c r="E66" s="76" t="n">
        <f aca="false">+E12</f>
        <v>80</v>
      </c>
      <c r="F66" s="76" t="n">
        <f aca="false">+F132</f>
        <v>87.2</v>
      </c>
      <c r="G66" s="76" t="n">
        <f aca="false">+G132</f>
        <v>95.048</v>
      </c>
      <c r="H66" s="76" t="n">
        <f aca="false">+H132</f>
        <v>103.60232</v>
      </c>
      <c r="I66" s="76" t="n">
        <f aca="false">+I132</f>
        <v>112.9265288</v>
      </c>
      <c r="J66" s="76" t="n">
        <f aca="false">+J132</f>
        <v>123.089916392</v>
      </c>
    </row>
    <row r="67" customFormat="false" ht="12.75" hidden="false" customHeight="false" outlineLevel="0" collapsed="false">
      <c r="B67" s="81" t="s">
        <v>372</v>
      </c>
      <c r="C67" s="81"/>
      <c r="D67" s="81"/>
      <c r="E67" s="82" t="n">
        <f aca="false">SUM(E64:E66)</f>
        <v>240</v>
      </c>
      <c r="F67" s="82" t="n">
        <f aca="false">SUM(F64:F66)</f>
        <v>239.733298122107</v>
      </c>
      <c r="G67" s="82" t="n">
        <f aca="false">SUM(G64:G66)</f>
        <v>233.667068139604</v>
      </c>
      <c r="H67" s="82" t="n">
        <f aca="false">SUM(H64:H66)</f>
        <v>226.64741707252</v>
      </c>
      <c r="I67" s="82" t="n">
        <f aca="false">SUM(I64:I66)</f>
        <v>218.052876028334</v>
      </c>
      <c r="J67" s="82" t="n">
        <f aca="false">SUM(J64:J66)</f>
        <v>211.954793557771</v>
      </c>
    </row>
    <row r="68" customFormat="false" ht="12.75" hidden="false" customHeight="false" outlineLevel="0" collapsed="false">
      <c r="B68" s="61" t="s">
        <v>28</v>
      </c>
      <c r="E68" s="76" t="n">
        <f aca="false">SUM(E13:E14)-J12</f>
        <v>205.4</v>
      </c>
      <c r="F68" s="76" t="n">
        <f aca="false">+E68+F40</f>
        <v>214.455058049725</v>
      </c>
      <c r="G68" s="76" t="n">
        <f aca="false">+F68+G40</f>
        <v>224.647016358694</v>
      </c>
      <c r="H68" s="76" t="n">
        <f aca="false">+G68+H40</f>
        <v>236.162001355922</v>
      </c>
      <c r="I68" s="76" t="n">
        <f aca="false">+H68+I40</f>
        <v>249.079936109313</v>
      </c>
      <c r="J68" s="76" t="n">
        <f aca="false">+I68+J40</f>
        <v>263.513302002982</v>
      </c>
    </row>
    <row r="69" customFormat="false" ht="12.75" hidden="false" customHeight="false" outlineLevel="0" collapsed="false">
      <c r="B69" s="81" t="s">
        <v>373</v>
      </c>
      <c r="C69" s="81"/>
      <c r="D69" s="81"/>
      <c r="E69" s="82" t="n">
        <f aca="false">SUM(E67:E68)</f>
        <v>445.4</v>
      </c>
      <c r="F69" s="82" t="n">
        <f aca="false">SUM(F67:F68)</f>
        <v>454.188356171832</v>
      </c>
      <c r="G69" s="82" t="n">
        <f aca="false">SUM(G67:G68)</f>
        <v>458.314084498298</v>
      </c>
      <c r="H69" s="82" t="n">
        <f aca="false">SUM(H67:H68)</f>
        <v>462.809418428441</v>
      </c>
      <c r="I69" s="82" t="n">
        <f aca="false">SUM(I67:I68)</f>
        <v>467.132812137647</v>
      </c>
      <c r="J69" s="82" t="n">
        <f aca="false">SUM(J67:J68)</f>
        <v>475.468095560753</v>
      </c>
    </row>
    <row r="71" customFormat="false" ht="12.75" hidden="false" customHeight="false" outlineLevel="0" collapsed="false">
      <c r="B71" s="61" t="s">
        <v>374</v>
      </c>
      <c r="E71" s="98" t="n">
        <f aca="false">+E65/$E$31</f>
        <v>4</v>
      </c>
      <c r="F71" s="98" t="n">
        <f aca="false">+F65/$E$31</f>
        <v>3.81333245305268</v>
      </c>
      <c r="G71" s="98" t="n">
        <f aca="false">+G65/$E$31</f>
        <v>3.4654767034901</v>
      </c>
      <c r="H71" s="98" t="n">
        <f aca="false">+H65/$E$31</f>
        <v>3.07612742681299</v>
      </c>
      <c r="I71" s="98" t="n">
        <f aca="false">+I65/$E$31</f>
        <v>2.62815868070834</v>
      </c>
      <c r="J71" s="98" t="n">
        <f aca="false">+J65/$E$31</f>
        <v>2.22162192914427</v>
      </c>
    </row>
    <row r="72" customFormat="false" ht="12.75" hidden="false" customHeight="false" outlineLevel="0" collapsed="false">
      <c r="B72" s="61" t="s">
        <v>375</v>
      </c>
      <c r="E72" s="98" t="n">
        <f aca="false">+E66/$E$31</f>
        <v>2</v>
      </c>
      <c r="F72" s="98" t="n">
        <f aca="false">+F66/$E$31</f>
        <v>2.18</v>
      </c>
      <c r="G72" s="98" t="n">
        <f aca="false">+G66/$E$31</f>
        <v>2.3762</v>
      </c>
      <c r="H72" s="98" t="n">
        <f aca="false">+H66/$E$31</f>
        <v>2.590058</v>
      </c>
      <c r="I72" s="98" t="n">
        <f aca="false">+I66/$E$31</f>
        <v>2.82316322</v>
      </c>
      <c r="J72" s="98" t="n">
        <f aca="false">+J66/$E$31</f>
        <v>3.0772479098</v>
      </c>
    </row>
    <row r="73" customFormat="false" ht="12.75" hidden="false" customHeight="false" outlineLevel="0" collapsed="false">
      <c r="B73" s="61" t="s">
        <v>376</v>
      </c>
      <c r="E73" s="98" t="n">
        <f aca="false">+E67/$E$31</f>
        <v>6</v>
      </c>
      <c r="F73" s="98" t="n">
        <f aca="false">+F67/$E$31</f>
        <v>5.99333245305268</v>
      </c>
      <c r="G73" s="98" t="n">
        <f aca="false">+G67/$E$31</f>
        <v>5.8416767034901</v>
      </c>
      <c r="H73" s="98" t="n">
        <f aca="false">+H67/$E$31</f>
        <v>5.66618542681299</v>
      </c>
      <c r="I73" s="98" t="n">
        <f aca="false">+I67/$E$31</f>
        <v>5.45132190070834</v>
      </c>
      <c r="J73" s="98" t="n">
        <f aca="false">+J67/$E$31</f>
        <v>5.29886983894427</v>
      </c>
    </row>
    <row r="74" customFormat="false" ht="12.75" hidden="false" customHeight="false" outlineLevel="0" collapsed="false">
      <c r="B74" s="61" t="s">
        <v>377</v>
      </c>
      <c r="E74" s="99" t="n">
        <f aca="false">+E67/E69</f>
        <v>0.538841490794791</v>
      </c>
      <c r="F74" s="99" t="n">
        <f aca="false">+F67/F69</f>
        <v>0.527827926155398</v>
      </c>
      <c r="G74" s="99" t="n">
        <f aca="false">+G67/G69</f>
        <v>0.509840469762984</v>
      </c>
      <c r="H74" s="99" t="n">
        <f aca="false">+H67/H69</f>
        <v>0.48972083982678</v>
      </c>
      <c r="I74" s="99" t="n">
        <f aca="false">+I67/I69</f>
        <v>0.466789894356814</v>
      </c>
      <c r="J74" s="99" t="n">
        <f aca="false">+J67/J69</f>
        <v>0.445781316426285</v>
      </c>
    </row>
    <row r="76" customFormat="false" ht="12.75" hidden="false" customHeight="false" outlineLevel="0" collapsed="false">
      <c r="A76" s="61" t="s">
        <v>348</v>
      </c>
      <c r="B76" s="85" t="s">
        <v>378</v>
      </c>
      <c r="C76" s="85"/>
      <c r="D76" s="85"/>
      <c r="E76" s="85" t="n">
        <v>2013</v>
      </c>
      <c r="F76" s="85" t="n">
        <f aca="false">E76+1</f>
        <v>2014</v>
      </c>
      <c r="G76" s="85" t="n">
        <f aca="false">F76+1</f>
        <v>2015</v>
      </c>
      <c r="H76" s="85" t="n">
        <f aca="false">G76+1</f>
        <v>2016</v>
      </c>
      <c r="I76" s="85" t="n">
        <f aca="false">H76+1</f>
        <v>2017</v>
      </c>
      <c r="J76" s="85" t="n">
        <f aca="false">I76+1</f>
        <v>2018</v>
      </c>
    </row>
    <row r="77" customFormat="false" ht="12.75" hidden="false" customHeight="false" outlineLevel="0" collapsed="false">
      <c r="B77" s="61" t="s">
        <v>141</v>
      </c>
      <c r="F77" s="75" t="n">
        <f aca="false">+F40</f>
        <v>9.05505804972453</v>
      </c>
      <c r="G77" s="75" t="n">
        <f aca="false">+G40</f>
        <v>10.1919583089696</v>
      </c>
      <c r="H77" s="75" t="n">
        <f aca="false">+H40</f>
        <v>11.5149849972275</v>
      </c>
      <c r="I77" s="75" t="n">
        <f aca="false">+I40</f>
        <v>12.9179347533918</v>
      </c>
      <c r="J77" s="75" t="n">
        <f aca="false">+J40</f>
        <v>14.4333658936685</v>
      </c>
    </row>
    <row r="78" customFormat="false" ht="12.75" hidden="false" customHeight="false" outlineLevel="0" collapsed="false">
      <c r="B78" s="61" t="s">
        <v>142</v>
      </c>
      <c r="F78" s="75" t="n">
        <f aca="false">+-F33</f>
        <v>5.75</v>
      </c>
      <c r="G78" s="75" t="n">
        <f aca="false">+-G33</f>
        <v>5.9075</v>
      </c>
      <c r="H78" s="75" t="n">
        <f aca="false">+-H33</f>
        <v>6.072875</v>
      </c>
      <c r="I78" s="75" t="n">
        <f aca="false">+-I33</f>
        <v>6.24651875</v>
      </c>
      <c r="J78" s="75" t="n">
        <f aca="false">+-J33</f>
        <v>6.4288446875</v>
      </c>
    </row>
    <row r="79" customFormat="false" ht="12.75" hidden="false" customHeight="false" outlineLevel="0" collapsed="false">
      <c r="B79" s="61" t="s">
        <v>379</v>
      </c>
      <c r="F79" s="75" t="n">
        <f aca="false">+F43</f>
        <v>-1.04</v>
      </c>
      <c r="G79" s="75" t="n">
        <f aca="false">+G43</f>
        <v>-1.04</v>
      </c>
      <c r="H79" s="75" t="n">
        <f aca="false">+H43</f>
        <v>-1.04</v>
      </c>
      <c r="I79" s="75" t="n">
        <f aca="false">+I43</f>
        <v>-1.04</v>
      </c>
      <c r="J79" s="75" t="n">
        <f aca="false">+J43</f>
        <v>-1.04</v>
      </c>
    </row>
    <row r="80" customFormat="false" ht="12.75" hidden="false" customHeight="false" outlineLevel="0" collapsed="false">
      <c r="B80" s="61" t="s">
        <v>380</v>
      </c>
      <c r="F80" s="75" t="n">
        <f aca="false">-+F139</f>
        <v>7.2</v>
      </c>
      <c r="G80" s="75" t="n">
        <f aca="false">-+G139</f>
        <v>7.848</v>
      </c>
      <c r="H80" s="75" t="n">
        <f aca="false">-+H139</f>
        <v>8.55432</v>
      </c>
      <c r="I80" s="75" t="n">
        <f aca="false">-+I139</f>
        <v>9.3242088</v>
      </c>
      <c r="J80" s="75" t="n">
        <f aca="false">-+J139</f>
        <v>10.163387592</v>
      </c>
    </row>
    <row r="81" customFormat="false" ht="12.75" hidden="false" customHeight="false" outlineLevel="0" collapsed="false">
      <c r="B81" s="61" t="s">
        <v>381</v>
      </c>
      <c r="F81" s="75" t="n">
        <f aca="false">+-F37</f>
        <v>0.54</v>
      </c>
      <c r="G81" s="75" t="n">
        <f aca="false">+-G37</f>
        <v>0.54</v>
      </c>
      <c r="H81" s="75" t="n">
        <f aca="false">+-H37</f>
        <v>0.54</v>
      </c>
      <c r="I81" s="75" t="n">
        <f aca="false">+-I37</f>
        <v>0.54</v>
      </c>
      <c r="J81" s="75" t="n">
        <f aca="false">+-J37</f>
        <v>0.54</v>
      </c>
    </row>
    <row r="82" customFormat="false" ht="12.75" hidden="false" customHeight="false" outlineLevel="0" collapsed="false">
      <c r="B82" s="61" t="s">
        <v>382</v>
      </c>
      <c r="F82" s="75" t="n">
        <f aca="false">+-F54</f>
        <v>-4.43835616438355</v>
      </c>
      <c r="G82" s="75" t="n">
        <f aca="false">+-G54</f>
        <v>-4.66027397260275</v>
      </c>
      <c r="H82" s="75" t="n">
        <f aca="false">+-H54</f>
        <v>-4.89328767123288</v>
      </c>
      <c r="I82" s="75" t="n">
        <f aca="false">+-I54</f>
        <v>-5.13795205479454</v>
      </c>
      <c r="J82" s="75" t="n">
        <f aca="false">+-J54</f>
        <v>-5.39484965753422</v>
      </c>
    </row>
    <row r="83" customFormat="false" ht="12.75" hidden="false" customHeight="false" outlineLevel="0" collapsed="false">
      <c r="B83" s="81" t="s">
        <v>383</v>
      </c>
      <c r="C83" s="81"/>
      <c r="D83" s="81"/>
      <c r="E83" s="81"/>
      <c r="F83" s="82" t="n">
        <f aca="false">SUM(F77:F82)</f>
        <v>17.066701885341</v>
      </c>
      <c r="G83" s="82" t="n">
        <f aca="false">SUM(G77:G82)</f>
        <v>18.7871843363668</v>
      </c>
      <c r="H83" s="82" t="n">
        <f aca="false">SUM(H77:H82)</f>
        <v>20.7488923259946</v>
      </c>
      <c r="I83" s="82" t="n">
        <f aca="false">SUM(I77:I82)</f>
        <v>22.8507102485973</v>
      </c>
      <c r="J83" s="82" t="n">
        <f aca="false">SUM(J77:J82)</f>
        <v>25.1307485156343</v>
      </c>
    </row>
    <row r="84" customFormat="false" ht="12.75" hidden="false" customHeight="false" outlineLevel="0" collapsed="false">
      <c r="F84" s="75"/>
      <c r="G84" s="75"/>
      <c r="H84" s="75"/>
      <c r="I84" s="75"/>
      <c r="J84" s="75"/>
    </row>
    <row r="85" customFormat="false" ht="12.75" hidden="false" customHeight="false" outlineLevel="0" collapsed="false">
      <c r="B85" s="61" t="s">
        <v>359</v>
      </c>
      <c r="F85" s="75" t="n">
        <f aca="false">+-F44</f>
        <v>-5.24</v>
      </c>
      <c r="G85" s="75" t="n">
        <f aca="false">+-G44</f>
        <v>-4.726</v>
      </c>
      <c r="H85" s="75" t="n">
        <f aca="false">+-H44</f>
        <v>-4.8583</v>
      </c>
      <c r="I85" s="75" t="n">
        <f aca="false">+-I44</f>
        <v>-4.997215</v>
      </c>
      <c r="J85" s="75" t="n">
        <f aca="false">+-J44</f>
        <v>-5.14307575</v>
      </c>
    </row>
    <row r="86" customFormat="false" ht="12.75" hidden="false" customHeight="false" outlineLevel="0" collapsed="false">
      <c r="B86" s="81" t="s">
        <v>384</v>
      </c>
      <c r="C86" s="81"/>
      <c r="D86" s="81"/>
      <c r="E86" s="81"/>
      <c r="F86" s="82" t="n">
        <f aca="false">SUM(F85)</f>
        <v>-5.24</v>
      </c>
      <c r="G86" s="82" t="n">
        <f aca="false">SUM(G85)</f>
        <v>-4.726</v>
      </c>
      <c r="H86" s="82" t="n">
        <f aca="false">SUM(H85)</f>
        <v>-4.8583</v>
      </c>
      <c r="I86" s="82" t="n">
        <f aca="false">SUM(I85)</f>
        <v>-4.997215</v>
      </c>
      <c r="J86" s="82" t="n">
        <f aca="false">SUM(J85)</f>
        <v>-5.14307575</v>
      </c>
    </row>
    <row r="87" customFormat="false" ht="12.75" hidden="false" customHeight="false" outlineLevel="0" collapsed="false">
      <c r="F87" s="75"/>
      <c r="G87" s="75"/>
      <c r="H87" s="75"/>
      <c r="I87" s="75"/>
      <c r="J87" s="75"/>
    </row>
    <row r="88" customFormat="false" ht="12.75" hidden="false" customHeight="false" outlineLevel="0" collapsed="false">
      <c r="B88" s="61" t="s">
        <v>385</v>
      </c>
      <c r="F88" s="75" t="n">
        <f aca="false">+F119</f>
        <v>-1.6</v>
      </c>
      <c r="G88" s="75" t="n">
        <f aca="false">+G119</f>
        <v>-1.6</v>
      </c>
      <c r="H88" s="75" t="n">
        <f aca="false">+H119</f>
        <v>-1.6</v>
      </c>
      <c r="I88" s="75" t="n">
        <f aca="false">+I119</f>
        <v>-1.6</v>
      </c>
      <c r="J88" s="75" t="n">
        <f aca="false">+J119</f>
        <v>-1.6</v>
      </c>
    </row>
    <row r="89" customFormat="false" ht="12.75" hidden="false" customHeight="false" outlineLevel="0" collapsed="false">
      <c r="B89" s="61" t="s">
        <v>386</v>
      </c>
      <c r="F89" s="75" t="n">
        <f aca="false">+SUM(F102,F104)</f>
        <v>-5.71975114298086</v>
      </c>
      <c r="G89" s="75" t="n">
        <f aca="false">+SUM(G102,G104)</f>
        <v>-10.5445594585048</v>
      </c>
      <c r="H89" s="75" t="n">
        <f aca="false">+SUM(H102,H104)</f>
        <v>-12.7558469215834</v>
      </c>
      <c r="I89" s="75" t="n">
        <f aca="false">+SUM(I102,I104)</f>
        <v>-15.543814735555</v>
      </c>
      <c r="J89" s="75" t="n">
        <f aca="false">+SUM(J102,J104)</f>
        <v>-18.5711505756054</v>
      </c>
    </row>
    <row r="90" customFormat="false" ht="12.75" hidden="false" customHeight="false" outlineLevel="0" collapsed="false">
      <c r="B90" s="81" t="s">
        <v>387</v>
      </c>
      <c r="C90" s="81"/>
      <c r="D90" s="81"/>
      <c r="E90" s="81"/>
      <c r="F90" s="82" t="n">
        <f aca="false">SUM(F88:F89)</f>
        <v>-7.31975114298086</v>
      </c>
      <c r="G90" s="82" t="n">
        <f aca="false">SUM(G88:G89)</f>
        <v>-12.1445594585048</v>
      </c>
      <c r="H90" s="82" t="n">
        <f aca="false">SUM(H88:H89)</f>
        <v>-14.3558469215834</v>
      </c>
      <c r="I90" s="82" t="n">
        <f aca="false">SUM(I88:I89)</f>
        <v>-17.143814735555</v>
      </c>
      <c r="J90" s="82" t="n">
        <f aca="false">SUM(J88:J89)</f>
        <v>-20.1711505756054</v>
      </c>
    </row>
    <row r="91" customFormat="false" ht="12.75" hidden="false" customHeight="false" outlineLevel="0" collapsed="false">
      <c r="F91" s="75"/>
      <c r="G91" s="75"/>
      <c r="H91" s="75"/>
      <c r="I91" s="75"/>
      <c r="J91" s="75"/>
    </row>
    <row r="92" customFormat="false" ht="12.75" hidden="false" customHeight="false" outlineLevel="0" collapsed="false">
      <c r="B92" s="61" t="s">
        <v>388</v>
      </c>
      <c r="F92" s="75" t="n">
        <f aca="false">+SUM(F83,F86,F90)</f>
        <v>5</v>
      </c>
      <c r="G92" s="75" t="n">
        <f aca="false">+SUM(G83,G86,G90)</f>
        <v>1.6</v>
      </c>
      <c r="H92" s="75" t="n">
        <f aca="false">+SUM(H83,H86,H90)</f>
        <v>1.6</v>
      </c>
      <c r="I92" s="75" t="n">
        <f aca="false">+SUM(I83,I86,I90)</f>
        <v>1.6</v>
      </c>
      <c r="J92" s="75" t="n">
        <f aca="false">+SUM(J83,J86,J90)</f>
        <v>1.6</v>
      </c>
    </row>
    <row r="94" customFormat="false" ht="12.75" hidden="false" customHeight="false" outlineLevel="0" collapsed="false">
      <c r="A94" s="61" t="s">
        <v>348</v>
      </c>
      <c r="B94" s="85" t="s">
        <v>389</v>
      </c>
      <c r="C94" s="85"/>
      <c r="D94" s="85"/>
      <c r="E94" s="85" t="n">
        <v>2013</v>
      </c>
      <c r="F94" s="85" t="n">
        <f aca="false">E94+1</f>
        <v>2014</v>
      </c>
      <c r="G94" s="85" t="n">
        <f aca="false">F94+1</f>
        <v>2015</v>
      </c>
      <c r="H94" s="85" t="n">
        <f aca="false">G94+1</f>
        <v>2016</v>
      </c>
      <c r="I94" s="85" t="n">
        <f aca="false">H94+1</f>
        <v>2017</v>
      </c>
      <c r="J94" s="85" t="n">
        <f aca="false">I94+1</f>
        <v>2018</v>
      </c>
    </row>
    <row r="95" customFormat="false" ht="12.75" hidden="false" customHeight="false" outlineLevel="0" collapsed="false">
      <c r="B95" s="61" t="s">
        <v>390</v>
      </c>
      <c r="E95" s="75"/>
      <c r="F95" s="75" t="n">
        <f aca="false">+E62</f>
        <v>0</v>
      </c>
      <c r="G95" s="75" t="n">
        <f aca="false">+F62</f>
        <v>5</v>
      </c>
      <c r="H95" s="75" t="n">
        <f aca="false">+G62</f>
        <v>6.6</v>
      </c>
      <c r="I95" s="75" t="n">
        <f aca="false">+H62</f>
        <v>8.2</v>
      </c>
      <c r="J95" s="75" t="n">
        <f aca="false">+I62</f>
        <v>9.8</v>
      </c>
    </row>
    <row r="96" customFormat="false" ht="12.75" hidden="false" customHeight="false" outlineLevel="0" collapsed="false">
      <c r="B96" s="61" t="s">
        <v>391</v>
      </c>
      <c r="E96" s="75"/>
      <c r="F96" s="97" t="n">
        <v>-5</v>
      </c>
      <c r="G96" s="97" t="n">
        <v>-5</v>
      </c>
      <c r="H96" s="97" t="n">
        <v>-5</v>
      </c>
      <c r="I96" s="97" t="n">
        <v>-5</v>
      </c>
      <c r="J96" s="97" t="n">
        <v>-5</v>
      </c>
    </row>
    <row r="97" customFormat="false" ht="12.75" hidden="false" customHeight="false" outlineLevel="0" collapsed="false">
      <c r="B97" s="61" t="s">
        <v>392</v>
      </c>
      <c r="E97" s="75"/>
      <c r="F97" s="75" t="n">
        <f aca="false">+F83+F86</f>
        <v>12.466701885341</v>
      </c>
      <c r="G97" s="75" t="n">
        <f aca="false">+G83+G86</f>
        <v>14.0611843363668</v>
      </c>
      <c r="H97" s="75" t="n">
        <f aca="false">+H83+H86</f>
        <v>15.8905923259946</v>
      </c>
      <c r="I97" s="75" t="n">
        <f aca="false">+I83+I86</f>
        <v>17.8534952485973</v>
      </c>
      <c r="J97" s="75" t="n">
        <f aca="false">+J83+J86</f>
        <v>19.9876727656343</v>
      </c>
    </row>
    <row r="98" customFormat="false" ht="12.75" hidden="false" customHeight="false" outlineLevel="0" collapsed="false">
      <c r="B98" s="61" t="s">
        <v>393</v>
      </c>
      <c r="E98" s="75"/>
      <c r="F98" s="75" t="n">
        <f aca="false">+F88</f>
        <v>-1.6</v>
      </c>
      <c r="G98" s="75" t="n">
        <f aca="false">+G88</f>
        <v>-1.6</v>
      </c>
      <c r="H98" s="75" t="n">
        <f aca="false">+H88</f>
        <v>-1.6</v>
      </c>
      <c r="I98" s="75" t="n">
        <f aca="false">+I88</f>
        <v>-1.6</v>
      </c>
      <c r="J98" s="75" t="n">
        <f aca="false">+J88</f>
        <v>-1.6</v>
      </c>
    </row>
    <row r="99" customFormat="false" ht="12.75" hidden="false" customHeight="false" outlineLevel="0" collapsed="false">
      <c r="B99" s="81" t="s">
        <v>394</v>
      </c>
      <c r="C99" s="81"/>
      <c r="D99" s="81"/>
      <c r="E99" s="82"/>
      <c r="F99" s="82" t="n">
        <f aca="false">SUM(F95:F98)</f>
        <v>5.86670188534098</v>
      </c>
      <c r="G99" s="82" t="n">
        <f aca="false">SUM(G95:G98)</f>
        <v>12.4611843363668</v>
      </c>
      <c r="H99" s="82" t="n">
        <f aca="false">SUM(H95:H98)</f>
        <v>15.8905923259946</v>
      </c>
      <c r="I99" s="82" t="n">
        <f aca="false">SUM(I95:I98)</f>
        <v>19.4534952485973</v>
      </c>
      <c r="J99" s="82" t="n">
        <f aca="false">SUM(J95:J98)</f>
        <v>23.1876727656343</v>
      </c>
    </row>
    <row r="100" customFormat="false" ht="12.75" hidden="false" customHeight="false" outlineLevel="0" collapsed="false">
      <c r="B100" s="61" t="s">
        <v>395</v>
      </c>
      <c r="E100" s="75"/>
      <c r="F100" s="75" t="n">
        <f aca="false">+SUM(F109:F110)</f>
        <v>0</v>
      </c>
      <c r="G100" s="75" t="n">
        <f aca="false">+SUM(G109:G110)</f>
        <v>0</v>
      </c>
      <c r="H100" s="75" t="n">
        <f aca="false">+SUM(H109:H110)</f>
        <v>0</v>
      </c>
      <c r="I100" s="75" t="n">
        <f aca="false">+SUM(I109:I110)</f>
        <v>0</v>
      </c>
      <c r="J100" s="75" t="n">
        <f aca="false">+SUM(J109:J110)</f>
        <v>0</v>
      </c>
    </row>
    <row r="101" customFormat="false" ht="12.75" hidden="false" customHeight="false" outlineLevel="0" collapsed="false">
      <c r="B101" s="81" t="s">
        <v>396</v>
      </c>
      <c r="C101" s="81"/>
      <c r="D101" s="81"/>
      <c r="E101" s="82"/>
      <c r="F101" s="82" t="n">
        <f aca="false">SUM(F99:F100)</f>
        <v>5.86670187789298</v>
      </c>
      <c r="G101" s="82" t="n">
        <f aca="false">SUM(G99:G100)</f>
        <v>12.461180717415</v>
      </c>
      <c r="H101" s="82" t="n">
        <f aca="false">SUM(H99:H100)</f>
        <v>15.8905923259946</v>
      </c>
      <c r="I101" s="82" t="n">
        <f aca="false">SUM(I99:I100)</f>
        <v>19.4534952485973</v>
      </c>
      <c r="J101" s="82" t="n">
        <f aca="false">SUM(J99:J100)</f>
        <v>23.1876727656343</v>
      </c>
    </row>
    <row r="102" customFormat="false" ht="12.75" hidden="false" customHeight="false" outlineLevel="0" collapsed="false">
      <c r="B102" s="61" t="s">
        <v>397</v>
      </c>
      <c r="E102" s="75"/>
      <c r="F102" s="75" t="n">
        <f aca="false">+F120</f>
        <v>-5.71975114298086</v>
      </c>
      <c r="G102" s="75" t="n">
        <f aca="false">+G120</f>
        <v>-10.5445594585048</v>
      </c>
      <c r="H102" s="75" t="n">
        <f aca="false">+H120</f>
        <v>-12.7558469215834</v>
      </c>
      <c r="I102" s="75" t="n">
        <f aca="false">+I120</f>
        <v>-15.543814735555</v>
      </c>
      <c r="J102" s="75" t="n">
        <f aca="false">+J120</f>
        <v>-18.5711505756054</v>
      </c>
    </row>
    <row r="103" customFormat="false" ht="12.75" hidden="false" customHeight="false" outlineLevel="0" collapsed="false">
      <c r="B103" s="81" t="s">
        <v>398</v>
      </c>
      <c r="C103" s="81"/>
      <c r="D103" s="81"/>
      <c r="E103" s="82"/>
      <c r="F103" s="82" t="n">
        <f aca="false">SUM(F101:F102)</f>
        <v>0</v>
      </c>
      <c r="G103" s="82" t="n">
        <f aca="false">SUM(G101:G102)</f>
        <v>0</v>
      </c>
      <c r="H103" s="82" t="n">
        <f aca="false">SUM(H101:H102)</f>
        <v>0</v>
      </c>
      <c r="I103" s="82" t="n">
        <f aca="false">SUM(I101:I102)</f>
        <v>0</v>
      </c>
      <c r="J103" s="82" t="n">
        <f aca="false">SUM(J101:J102)</f>
        <v>0</v>
      </c>
    </row>
    <row r="104" customFormat="false" ht="12.75" hidden="false" customHeight="false" outlineLevel="0" collapsed="false">
      <c r="B104" s="61" t="s">
        <v>397</v>
      </c>
      <c r="E104" s="75"/>
      <c r="F104" s="75" t="n">
        <f aca="false">+F131</f>
        <v>0</v>
      </c>
      <c r="G104" s="75" t="n">
        <f aca="false">+G131</f>
        <v>0</v>
      </c>
      <c r="H104" s="75" t="n">
        <f aca="false">+H131</f>
        <v>0</v>
      </c>
      <c r="I104" s="75" t="n">
        <f aca="false">+I131</f>
        <v>0</v>
      </c>
      <c r="J104" s="75" t="n">
        <f aca="false">+J131</f>
        <v>0</v>
      </c>
    </row>
    <row r="105" customFormat="false" ht="12.75" hidden="false" customHeight="false" outlineLevel="0" collapsed="false">
      <c r="B105" s="81" t="s">
        <v>399</v>
      </c>
      <c r="C105" s="81"/>
      <c r="D105" s="81"/>
      <c r="E105" s="82"/>
      <c r="F105" s="82" t="n">
        <f aca="false">SUM(F103:F104)</f>
        <v>0</v>
      </c>
      <c r="G105" s="82" t="n">
        <f aca="false">SUM(G103:G104)</f>
        <v>0</v>
      </c>
      <c r="H105" s="82" t="n">
        <f aca="false">SUM(H103:H104)</f>
        <v>0</v>
      </c>
      <c r="I105" s="82" t="n">
        <f aca="false">SUM(I103:I104)</f>
        <v>0</v>
      </c>
      <c r="J105" s="82" t="n">
        <f aca="false">SUM(J103:J104)</f>
        <v>0</v>
      </c>
    </row>
    <row r="106" customFormat="false" ht="12.75" hidden="false" customHeight="false" outlineLevel="0" collapsed="false">
      <c r="E106" s="75"/>
      <c r="F106" s="75"/>
      <c r="G106" s="75"/>
      <c r="H106" s="75"/>
      <c r="I106" s="75"/>
      <c r="J106" s="75"/>
    </row>
    <row r="107" customFormat="false" ht="12.75" hidden="false" customHeight="false" outlineLevel="0" collapsed="false">
      <c r="B107" s="93" t="s">
        <v>371</v>
      </c>
      <c r="E107" s="75"/>
      <c r="F107" s="75"/>
      <c r="G107" s="75"/>
      <c r="H107" s="75"/>
      <c r="I107" s="75"/>
      <c r="J107" s="75"/>
    </row>
    <row r="108" customFormat="false" ht="12.75" hidden="false" customHeight="false" outlineLevel="0" collapsed="false">
      <c r="B108" s="61" t="s">
        <v>400</v>
      </c>
      <c r="E108" s="75"/>
      <c r="F108" s="75" t="n">
        <f aca="false">+E111</f>
        <v>0</v>
      </c>
      <c r="G108" s="75" t="n">
        <f aca="false">+F111</f>
        <v>0</v>
      </c>
      <c r="H108" s="75" t="n">
        <f aca="false">+G111</f>
        <v>0</v>
      </c>
      <c r="I108" s="75" t="n">
        <f aca="false">+H111</f>
        <v>0</v>
      </c>
      <c r="J108" s="75" t="n">
        <f aca="false">+I111</f>
        <v>0</v>
      </c>
    </row>
    <row r="109" customFormat="false" ht="12.75" hidden="false" customHeight="false" outlineLevel="0" collapsed="false">
      <c r="B109" s="61" t="s">
        <v>401</v>
      </c>
      <c r="E109" s="75"/>
      <c r="F109" s="75" t="n">
        <f aca="false">+-MIN(F99,0)</f>
        <v>-0</v>
      </c>
      <c r="G109" s="75" t="n">
        <f aca="false">+-MIN(G99,0)</f>
        <v>-0</v>
      </c>
      <c r="H109" s="75" t="n">
        <f aca="false">+-MIN(H99,0)</f>
        <v>-0</v>
      </c>
      <c r="I109" s="75" t="n">
        <f aca="false">+-MIN(I99,0)</f>
        <v>-0</v>
      </c>
      <c r="J109" s="75" t="n">
        <f aca="false">+-MIN(J99,0)</f>
        <v>-0</v>
      </c>
    </row>
    <row r="110" customFormat="false" ht="12.75" hidden="false" customHeight="false" outlineLevel="0" collapsed="false">
      <c r="B110" s="61" t="s">
        <v>402</v>
      </c>
      <c r="E110" s="75"/>
      <c r="F110" s="75" t="n">
        <f aca="false">+IF(F108&gt;0,-MIN(F108,F99),0)</f>
        <v>0</v>
      </c>
      <c r="G110" s="75" t="n">
        <f aca="false">+IF(G108&gt;0,-MIN(G108,G99),0)</f>
        <v>0</v>
      </c>
      <c r="H110" s="75" t="n">
        <f aca="false">+IF(H108&gt;0,-MIN(H108,H99),0)</f>
        <v>0</v>
      </c>
      <c r="I110" s="75" t="n">
        <f aca="false">+IF(I108&gt;0,-MIN(I108,I99),0)</f>
        <v>0</v>
      </c>
      <c r="J110" s="75" t="n">
        <f aca="false">+IF(J108&gt;0,-MIN(J108,J99),0)</f>
        <v>0</v>
      </c>
    </row>
    <row r="111" customFormat="false" ht="12.75" hidden="false" customHeight="false" outlineLevel="0" collapsed="false">
      <c r="B111" s="81" t="s">
        <v>403</v>
      </c>
      <c r="C111" s="81"/>
      <c r="D111" s="81"/>
      <c r="E111" s="100" t="n">
        <v>0</v>
      </c>
      <c r="F111" s="82" t="n">
        <f aca="false">SUM(F108:F110)</f>
        <v>0</v>
      </c>
      <c r="G111" s="82" t="n">
        <f aca="false">SUM(G108:G110)</f>
        <v>0</v>
      </c>
      <c r="H111" s="82" t="n">
        <f aca="false">SUM(H108:H110)</f>
        <v>0</v>
      </c>
      <c r="I111" s="82" t="n">
        <f aca="false">SUM(I108:I110)</f>
        <v>0</v>
      </c>
      <c r="J111" s="82" t="n">
        <f aca="false">SUM(J108:J110)</f>
        <v>0</v>
      </c>
    </row>
    <row r="112" customFormat="false" ht="12.75" hidden="false" customHeight="false" outlineLevel="0" collapsed="false">
      <c r="E112" s="75"/>
      <c r="F112" s="75"/>
      <c r="G112" s="75"/>
      <c r="H112" s="75"/>
      <c r="I112" s="75"/>
      <c r="J112" s="75"/>
    </row>
    <row r="113" customFormat="false" ht="12.75" hidden="false" customHeight="false" outlineLevel="0" collapsed="false">
      <c r="B113" s="61" t="s">
        <v>404</v>
      </c>
      <c r="E113" s="75"/>
      <c r="F113" s="75" t="n">
        <f aca="false">+AVERAGE(E111:F111)</f>
        <v>0</v>
      </c>
      <c r="G113" s="75" t="n">
        <f aca="false">+AVERAGE(F111:G111)</f>
        <v>0</v>
      </c>
      <c r="H113" s="75" t="n">
        <f aca="false">+AVERAGE(G111:H111)</f>
        <v>0</v>
      </c>
      <c r="I113" s="75" t="n">
        <f aca="false">+AVERAGE(H111:I111)</f>
        <v>0</v>
      </c>
      <c r="J113" s="75" t="n">
        <f aca="false">+AVERAGE(I111:J111)</f>
        <v>0</v>
      </c>
    </row>
    <row r="114" customFormat="false" ht="12.75" hidden="false" customHeight="false" outlineLevel="0" collapsed="false">
      <c r="B114" s="61" t="s">
        <v>405</v>
      </c>
      <c r="F114" s="92" t="n">
        <v>0.04</v>
      </c>
      <c r="G114" s="92" t="n">
        <f aca="false">+F114</f>
        <v>0.04</v>
      </c>
      <c r="H114" s="92" t="n">
        <f aca="false">+G114</f>
        <v>0.04</v>
      </c>
      <c r="I114" s="92" t="n">
        <f aca="false">+H114</f>
        <v>0.04</v>
      </c>
      <c r="J114" s="92" t="n">
        <f aca="false">+I114</f>
        <v>0.04</v>
      </c>
    </row>
    <row r="115" customFormat="false" ht="12.75" hidden="false" customHeight="false" outlineLevel="0" collapsed="false">
      <c r="B115" s="61" t="s">
        <v>406</v>
      </c>
      <c r="E115" s="75"/>
      <c r="F115" s="75" t="n">
        <f aca="false">+-F113*F114</f>
        <v>-0</v>
      </c>
      <c r="G115" s="75" t="n">
        <f aca="false">+-G113*G114</f>
        <v>-0</v>
      </c>
      <c r="H115" s="75" t="n">
        <f aca="false">+-H113*H114</f>
        <v>-0</v>
      </c>
      <c r="I115" s="75" t="n">
        <f aca="false">+-I113*I114</f>
        <v>-0</v>
      </c>
      <c r="J115" s="75" t="n">
        <f aca="false">+-J113*J114</f>
        <v>-0</v>
      </c>
    </row>
    <row r="116" customFormat="false" ht="12.75" hidden="false" customHeight="false" outlineLevel="0" collapsed="false">
      <c r="E116" s="75"/>
      <c r="F116" s="75"/>
      <c r="G116" s="75"/>
      <c r="H116" s="75"/>
      <c r="I116" s="75"/>
      <c r="J116" s="75"/>
    </row>
    <row r="117" customFormat="false" ht="12.75" hidden="false" customHeight="false" outlineLevel="0" collapsed="false">
      <c r="B117" s="93" t="s">
        <v>335</v>
      </c>
      <c r="E117" s="75"/>
      <c r="F117" s="75"/>
      <c r="G117" s="75"/>
      <c r="H117" s="75"/>
      <c r="I117" s="75"/>
      <c r="J117" s="75"/>
    </row>
    <row r="118" customFormat="false" ht="12.75" hidden="false" customHeight="false" outlineLevel="0" collapsed="false">
      <c r="B118" s="61" t="s">
        <v>400</v>
      </c>
      <c r="E118" s="75"/>
      <c r="F118" s="75" t="n">
        <f aca="false">+E121</f>
        <v>160</v>
      </c>
      <c r="G118" s="75" t="n">
        <f aca="false">+F121</f>
        <v>152.680248857019</v>
      </c>
      <c r="H118" s="75" t="n">
        <f aca="false">+G121</f>
        <v>140.535689398514</v>
      </c>
      <c r="I118" s="75" t="n">
        <f aca="false">+H121</f>
        <v>126.179842476931</v>
      </c>
      <c r="J118" s="75" t="n">
        <f aca="false">+I121</f>
        <v>109.036027741376</v>
      </c>
    </row>
    <row r="119" customFormat="false" ht="12.75" hidden="false" customHeight="false" outlineLevel="0" collapsed="false">
      <c r="B119" s="61" t="s">
        <v>407</v>
      </c>
      <c r="E119" s="75"/>
      <c r="F119" s="101" t="n">
        <f aca="false">-IF($E$121+F118*F126&gt;0,$E$121*F126,0)</f>
        <v>-1.6</v>
      </c>
      <c r="G119" s="101" t="n">
        <f aca="false">-IF($E$121+G118*G126&gt;0,$E$121*G126,0)</f>
        <v>-1.6</v>
      </c>
      <c r="H119" s="101" t="n">
        <f aca="false">-IF($E$121+H118*H126&gt;0,$E$121*H126,0)</f>
        <v>-1.6</v>
      </c>
      <c r="I119" s="101" t="n">
        <f aca="false">-IF($E$121+I118*I126&gt;0,$E$121*I126,0)</f>
        <v>-1.6</v>
      </c>
      <c r="J119" s="101" t="n">
        <f aca="false">-IF($E$121+J118*J126&gt;0,$E$121*J126,0)</f>
        <v>-1.6</v>
      </c>
    </row>
    <row r="120" customFormat="false" ht="12.75" hidden="false" customHeight="false" outlineLevel="0" collapsed="false">
      <c r="B120" s="61" t="s">
        <v>402</v>
      </c>
      <c r="E120" s="75"/>
      <c r="F120" s="75" t="n">
        <f aca="false">+-MIN(SUM(F118:F119),F101)</f>
        <v>-5.86670187789298</v>
      </c>
      <c r="G120" s="75" t="n">
        <f aca="false">+-MIN(SUM(G118:G119),G101)</f>
        <v>-12.461180717415</v>
      </c>
      <c r="H120" s="75" t="n">
        <f aca="false">+-MIN(SUM(H118:H119),H101)</f>
        <v>-15.8905923259946</v>
      </c>
      <c r="I120" s="75" t="n">
        <f aca="false">+-MIN(SUM(I118:I119),I101)</f>
        <v>-19.4534952485973</v>
      </c>
      <c r="J120" s="75" t="n">
        <f aca="false">+-MIN(SUM(J118:J119),J101)</f>
        <v>-23.1876727656343</v>
      </c>
    </row>
    <row r="121" customFormat="false" ht="12.75" hidden="false" customHeight="false" outlineLevel="0" collapsed="false">
      <c r="B121" s="81" t="s">
        <v>403</v>
      </c>
      <c r="C121" s="81"/>
      <c r="D121" s="81"/>
      <c r="E121" s="100" t="n">
        <f aca="false">+E11</f>
        <v>160</v>
      </c>
      <c r="F121" s="82" t="n">
        <f aca="false">SUM(F118:F120)</f>
        <v>152.533298122107</v>
      </c>
      <c r="G121" s="82" t="n">
        <f aca="false">SUM(G118:G120)</f>
        <v>138.619068139604</v>
      </c>
      <c r="H121" s="82" t="n">
        <f aca="false">SUM(H118:H120)</f>
        <v>123.04509707252</v>
      </c>
      <c r="I121" s="82" t="n">
        <f aca="false">SUM(I118:I120)</f>
        <v>105.126347228334</v>
      </c>
      <c r="J121" s="82" t="n">
        <f aca="false">SUM(J118:J120)</f>
        <v>84.2483549757418</v>
      </c>
    </row>
    <row r="122" customFormat="false" ht="12.75" hidden="false" customHeight="false" outlineLevel="0" collapsed="false">
      <c r="E122" s="75"/>
      <c r="F122" s="75"/>
      <c r="G122" s="75"/>
      <c r="H122" s="75"/>
      <c r="I122" s="75"/>
      <c r="J122" s="75"/>
    </row>
    <row r="123" customFormat="false" ht="12.75" hidden="false" customHeight="false" outlineLevel="0" collapsed="false">
      <c r="B123" s="61" t="s">
        <v>404</v>
      </c>
      <c r="E123" s="75"/>
      <c r="F123" s="75" t="n">
        <f aca="false">+AVERAGE(E121:F121)</f>
        <v>156.266649061054</v>
      </c>
      <c r="G123" s="75" t="n">
        <f aca="false">+AVERAGE(F121:G121)</f>
        <v>145.576183237256</v>
      </c>
      <c r="H123" s="75" t="n">
        <f aca="false">+AVERAGE(G121:H121)</f>
        <v>130.832082606062</v>
      </c>
      <c r="I123" s="75" t="n">
        <f aca="false">+AVERAGE(H121:I121)</f>
        <v>114.085722150427</v>
      </c>
      <c r="J123" s="75" t="n">
        <f aca="false">+AVERAGE(I121:J121)</f>
        <v>94.6873842943364</v>
      </c>
    </row>
    <row r="124" customFormat="false" ht="12.75" hidden="false" customHeight="false" outlineLevel="0" collapsed="false">
      <c r="B124" s="61" t="s">
        <v>405</v>
      </c>
      <c r="F124" s="92" t="n">
        <v>0.07</v>
      </c>
      <c r="G124" s="92" t="n">
        <f aca="false">+F124</f>
        <v>0.07</v>
      </c>
      <c r="H124" s="92" t="n">
        <f aca="false">+G124</f>
        <v>0.07</v>
      </c>
      <c r="I124" s="92" t="n">
        <f aca="false">+H124</f>
        <v>0.07</v>
      </c>
      <c r="J124" s="92" t="n">
        <f aca="false">+I124</f>
        <v>0.07</v>
      </c>
    </row>
    <row r="125" customFormat="false" ht="12.75" hidden="false" customHeight="false" outlineLevel="0" collapsed="false">
      <c r="B125" s="61" t="s">
        <v>406</v>
      </c>
      <c r="E125" s="75"/>
      <c r="F125" s="75" t="n">
        <f aca="false">+-F123*F124</f>
        <v>-10.9386654342737</v>
      </c>
      <c r="G125" s="75" t="n">
        <f aca="false">+-G123*G124</f>
        <v>-10.1903328266079</v>
      </c>
      <c r="H125" s="75" t="n">
        <f aca="false">+-H123*H124</f>
        <v>-9.15826256902878</v>
      </c>
      <c r="I125" s="75" t="n">
        <f aca="false">+-I123*I124</f>
        <v>-7.98604126046449</v>
      </c>
      <c r="J125" s="75" t="n">
        <f aca="false">+-J123*J124</f>
        <v>-6.62811690060355</v>
      </c>
    </row>
    <row r="126" customFormat="false" ht="12.75" hidden="false" customHeight="false" outlineLevel="0" collapsed="false">
      <c r="B126" s="61" t="s">
        <v>407</v>
      </c>
      <c r="F126" s="92" t="n">
        <v>0.01</v>
      </c>
      <c r="G126" s="92" t="n">
        <f aca="false">+F126</f>
        <v>0.01</v>
      </c>
      <c r="H126" s="92" t="n">
        <f aca="false">+G126</f>
        <v>0.01</v>
      </c>
      <c r="I126" s="92" t="n">
        <f aca="false">+H126</f>
        <v>0.01</v>
      </c>
      <c r="J126" s="92" t="n">
        <f aca="false">+I126</f>
        <v>0.01</v>
      </c>
    </row>
    <row r="128" customFormat="false" ht="12.75" hidden="false" customHeight="false" outlineLevel="0" collapsed="false">
      <c r="B128" s="93" t="s">
        <v>337</v>
      </c>
    </row>
    <row r="129" customFormat="false" ht="12.75" hidden="false" customHeight="false" outlineLevel="0" collapsed="false">
      <c r="B129" s="61" t="s">
        <v>400</v>
      </c>
      <c r="E129" s="75"/>
      <c r="F129" s="75" t="n">
        <f aca="false">+E132</f>
        <v>80</v>
      </c>
      <c r="G129" s="75" t="n">
        <f aca="false">+F132</f>
        <v>87.2</v>
      </c>
      <c r="H129" s="75" t="n">
        <f aca="false">+G132</f>
        <v>95.048</v>
      </c>
      <c r="I129" s="75" t="n">
        <f aca="false">+H132</f>
        <v>103.60232</v>
      </c>
      <c r="J129" s="75" t="n">
        <f aca="false">+I132</f>
        <v>112.9265288</v>
      </c>
    </row>
    <row r="130" customFormat="false" ht="12.75" hidden="false" customHeight="false" outlineLevel="0" collapsed="false">
      <c r="B130" s="61" t="s">
        <v>408</v>
      </c>
      <c r="E130" s="75"/>
      <c r="F130" s="75" t="n">
        <f aca="false">+-F139</f>
        <v>7.2</v>
      </c>
      <c r="G130" s="75" t="n">
        <f aca="false">+-G139</f>
        <v>7.848</v>
      </c>
      <c r="H130" s="75" t="n">
        <f aca="false">+-H139</f>
        <v>8.55432</v>
      </c>
      <c r="I130" s="75" t="n">
        <f aca="false">+-I139</f>
        <v>9.3242088</v>
      </c>
      <c r="J130" s="75" t="n">
        <f aca="false">+-J139</f>
        <v>10.163387592</v>
      </c>
    </row>
    <row r="131" customFormat="false" ht="12.75" hidden="false" customHeight="false" outlineLevel="0" collapsed="false">
      <c r="B131" s="61" t="s">
        <v>402</v>
      </c>
      <c r="E131" s="75"/>
      <c r="F131" s="75" t="n">
        <f aca="false">+IF(F103&gt;0,-MIN(SUM(F129:F130),F103),0)</f>
        <v>0</v>
      </c>
      <c r="G131" s="75" t="n">
        <f aca="false">+IF(G103&gt;0,-MIN(SUM(G129:G130),G103),0)</f>
        <v>0</v>
      </c>
      <c r="H131" s="75" t="n">
        <f aca="false">+IF(H103&gt;0,-MIN(SUM(H129:H130),H103),0)</f>
        <v>0</v>
      </c>
      <c r="I131" s="75" t="n">
        <f aca="false">+IF(I103&gt;0,-MIN(SUM(I129:I130),I103),0)</f>
        <v>0</v>
      </c>
      <c r="J131" s="75" t="n">
        <f aca="false">+IF(J103&gt;0,-MIN(SUM(J129:J130),J103),0)</f>
        <v>0</v>
      </c>
    </row>
    <row r="132" customFormat="false" ht="12.75" hidden="false" customHeight="false" outlineLevel="0" collapsed="false">
      <c r="B132" s="81" t="s">
        <v>403</v>
      </c>
      <c r="C132" s="81"/>
      <c r="D132" s="81"/>
      <c r="E132" s="100" t="n">
        <f aca="false">+E12</f>
        <v>80</v>
      </c>
      <c r="F132" s="82" t="n">
        <f aca="false">SUM(F129:F131)</f>
        <v>87.2</v>
      </c>
      <c r="G132" s="82" t="n">
        <f aca="false">SUM(G129:G131)</f>
        <v>95.048</v>
      </c>
      <c r="H132" s="82" t="n">
        <f aca="false">SUM(H129:H131)</f>
        <v>103.60232</v>
      </c>
      <c r="I132" s="82" t="n">
        <f aca="false">SUM(I129:I131)</f>
        <v>112.9265288</v>
      </c>
      <c r="J132" s="82" t="n">
        <f aca="false">SUM(J129:J131)</f>
        <v>123.089916392</v>
      </c>
    </row>
    <row r="133" customFormat="false" ht="12.75" hidden="false" customHeight="false" outlineLevel="0" collapsed="false">
      <c r="E133" s="75"/>
      <c r="F133" s="75"/>
      <c r="G133" s="75"/>
      <c r="H133" s="75"/>
      <c r="I133" s="75"/>
      <c r="J133" s="75"/>
    </row>
    <row r="134" customFormat="false" ht="12.75" hidden="false" customHeight="false" outlineLevel="0" collapsed="false">
      <c r="B134" s="61" t="s">
        <v>404</v>
      </c>
      <c r="E134" s="75"/>
      <c r="F134" s="75" t="n">
        <f aca="false">+AVERAGE(E132:F132)</f>
        <v>83.6</v>
      </c>
      <c r="G134" s="75" t="n">
        <f aca="false">+AVERAGE(F132:G132)</f>
        <v>91.124</v>
      </c>
      <c r="H134" s="75" t="n">
        <f aca="false">+AVERAGE(G132:H132)</f>
        <v>99.32516</v>
      </c>
      <c r="I134" s="75" t="n">
        <f aca="false">+AVERAGE(H132:I132)</f>
        <v>108.2644244</v>
      </c>
      <c r="J134" s="75" t="n">
        <f aca="false">+AVERAGE(I132:J132)</f>
        <v>118.008222596</v>
      </c>
    </row>
    <row r="135" customFormat="false" ht="12.75" hidden="false" customHeight="false" outlineLevel="0" collapsed="false">
      <c r="B135" s="61" t="s">
        <v>405</v>
      </c>
      <c r="F135" s="92" t="n">
        <v>0.03</v>
      </c>
      <c r="G135" s="92" t="n">
        <f aca="false">+F135</f>
        <v>0.03</v>
      </c>
      <c r="H135" s="92" t="n">
        <f aca="false">+G135</f>
        <v>0.03</v>
      </c>
      <c r="I135" s="92" t="n">
        <f aca="false">+H135</f>
        <v>0.03</v>
      </c>
      <c r="J135" s="92" t="n">
        <f aca="false">+I135</f>
        <v>0.03</v>
      </c>
    </row>
    <row r="136" customFormat="false" ht="12.75" hidden="false" customHeight="false" outlineLevel="0" collapsed="false">
      <c r="B136" s="61" t="s">
        <v>406</v>
      </c>
      <c r="E136" s="75"/>
      <c r="F136" s="75" t="n">
        <f aca="false">+-F134*F135</f>
        <v>-2.508</v>
      </c>
      <c r="G136" s="75" t="n">
        <f aca="false">+-G134*G135</f>
        <v>-2.73372</v>
      </c>
      <c r="H136" s="75" t="n">
        <f aca="false">+-H134*H135</f>
        <v>-2.9797548</v>
      </c>
      <c r="I136" s="75" t="n">
        <f aca="false">+-I134*I135</f>
        <v>-3.247932732</v>
      </c>
      <c r="J136" s="75" t="n">
        <f aca="false">+-J134*J135</f>
        <v>-3.54024667788</v>
      </c>
    </row>
    <row r="138" customFormat="false" ht="12.75" hidden="false" customHeight="false" outlineLevel="0" collapsed="false">
      <c r="B138" s="61" t="s">
        <v>409</v>
      </c>
      <c r="F138" s="92" t="n">
        <v>0.09</v>
      </c>
      <c r="G138" s="92" t="n">
        <f aca="false">+F138</f>
        <v>0.09</v>
      </c>
      <c r="H138" s="92" t="n">
        <f aca="false">+G138</f>
        <v>0.09</v>
      </c>
      <c r="I138" s="92" t="n">
        <f aca="false">+H138</f>
        <v>0.09</v>
      </c>
      <c r="J138" s="92" t="n">
        <f aca="false">+I138</f>
        <v>0.09</v>
      </c>
    </row>
    <row r="139" customFormat="false" ht="12.75" hidden="false" customHeight="false" outlineLevel="0" collapsed="false">
      <c r="B139" s="61" t="s">
        <v>410</v>
      </c>
      <c r="E139" s="75"/>
      <c r="F139" s="75" t="n">
        <f aca="false">+E132*-F138</f>
        <v>-7.2</v>
      </c>
      <c r="G139" s="75" t="n">
        <f aca="false">+F132*-G138</f>
        <v>-7.848</v>
      </c>
      <c r="H139" s="75" t="n">
        <f aca="false">+G132*-H138</f>
        <v>-8.55432</v>
      </c>
      <c r="I139" s="75" t="n">
        <f aca="false">+H132*-I138</f>
        <v>-9.3242088</v>
      </c>
      <c r="J139" s="75" t="n">
        <f aca="false">+I132*-J138</f>
        <v>-10.163387592</v>
      </c>
    </row>
    <row r="140" customFormat="false" ht="12.75" hidden="false" customHeight="false" outlineLevel="0" collapsed="false">
      <c r="E140" s="75"/>
      <c r="F140" s="75"/>
      <c r="G140" s="75"/>
      <c r="H140" s="75"/>
      <c r="I140" s="75"/>
      <c r="J140" s="75"/>
    </row>
    <row r="141" customFormat="false" ht="12.75" hidden="false" customHeight="false" outlineLevel="0" collapsed="false">
      <c r="B141" s="93" t="s">
        <v>370</v>
      </c>
      <c r="E141" s="75"/>
      <c r="F141" s="75"/>
      <c r="G141" s="75"/>
      <c r="H141" s="75"/>
      <c r="I141" s="75"/>
      <c r="J141" s="75"/>
    </row>
    <row r="142" customFormat="false" ht="12.75" hidden="false" customHeight="false" outlineLevel="0" collapsed="false">
      <c r="B142" s="61" t="s">
        <v>400</v>
      </c>
      <c r="E142" s="75"/>
      <c r="F142" s="75" t="n">
        <f aca="false">+E144</f>
        <v>0</v>
      </c>
      <c r="G142" s="75" t="n">
        <f aca="false">+F144</f>
        <v>5</v>
      </c>
      <c r="H142" s="75" t="n">
        <f aca="false">+G144</f>
        <v>6.6</v>
      </c>
      <c r="I142" s="75" t="n">
        <f aca="false">+H144</f>
        <v>8.2</v>
      </c>
      <c r="J142" s="75" t="n">
        <f aca="false">+I144</f>
        <v>9.8</v>
      </c>
    </row>
    <row r="143" customFormat="false" ht="12.75" hidden="false" customHeight="false" outlineLevel="0" collapsed="false">
      <c r="B143" s="61" t="s">
        <v>411</v>
      </c>
      <c r="E143" s="75"/>
      <c r="F143" s="75" t="n">
        <f aca="false">+F92</f>
        <v>5</v>
      </c>
      <c r="G143" s="75" t="n">
        <f aca="false">+G92</f>
        <v>1.6</v>
      </c>
      <c r="H143" s="75" t="n">
        <f aca="false">+H92</f>
        <v>1.6</v>
      </c>
      <c r="I143" s="75" t="n">
        <f aca="false">+I92</f>
        <v>1.6</v>
      </c>
      <c r="J143" s="75" t="n">
        <f aca="false">+J92</f>
        <v>1.6</v>
      </c>
    </row>
    <row r="144" customFormat="false" ht="12.75" hidden="false" customHeight="false" outlineLevel="0" collapsed="false">
      <c r="B144" s="81" t="s">
        <v>403</v>
      </c>
      <c r="C144" s="81"/>
      <c r="D144" s="81"/>
      <c r="E144" s="100" t="n">
        <v>0</v>
      </c>
      <c r="F144" s="82" t="n">
        <f aca="false">SUM(F142:F143)</f>
        <v>5</v>
      </c>
      <c r="G144" s="82" t="n">
        <f aca="false">SUM(G142:G143)</f>
        <v>6.6</v>
      </c>
      <c r="H144" s="82" t="n">
        <f aca="false">SUM(H142:H143)</f>
        <v>8.2</v>
      </c>
      <c r="I144" s="82" t="n">
        <f aca="false">SUM(I142:I143)</f>
        <v>9.8</v>
      </c>
      <c r="J144" s="82" t="n">
        <f aca="false">SUM(J142:J143)</f>
        <v>11.4</v>
      </c>
    </row>
    <row r="145" customFormat="false" ht="12.75" hidden="false" customHeight="false" outlineLevel="0" collapsed="false">
      <c r="E145" s="75"/>
      <c r="F145" s="75"/>
      <c r="G145" s="75"/>
      <c r="H145" s="75"/>
      <c r="I145" s="75"/>
      <c r="J145" s="75"/>
    </row>
    <row r="146" customFormat="false" ht="12.75" hidden="false" customHeight="false" outlineLevel="0" collapsed="false">
      <c r="B146" s="61" t="s">
        <v>404</v>
      </c>
      <c r="E146" s="75"/>
      <c r="F146" s="75" t="n">
        <f aca="false">+AVERAGE(E144:F144)</f>
        <v>2.5</v>
      </c>
      <c r="G146" s="75" t="n">
        <f aca="false">+AVERAGE(F144:G144)</f>
        <v>5.8</v>
      </c>
      <c r="H146" s="75" t="n">
        <f aca="false">+AVERAGE(G144:H144)</f>
        <v>7.4</v>
      </c>
      <c r="I146" s="75" t="n">
        <f aca="false">+AVERAGE(H144:I144)</f>
        <v>9</v>
      </c>
      <c r="J146" s="75" t="n">
        <f aca="false">+AVERAGE(I144:J144)</f>
        <v>10.6</v>
      </c>
    </row>
    <row r="147" customFormat="false" ht="12.75" hidden="false" customHeight="false" outlineLevel="0" collapsed="false">
      <c r="B147" s="61" t="s">
        <v>405</v>
      </c>
      <c r="F147" s="92" t="n">
        <v>0.01</v>
      </c>
      <c r="G147" s="92" t="n">
        <f aca="false">+F147</f>
        <v>0.01</v>
      </c>
      <c r="H147" s="92" t="n">
        <f aca="false">+G147</f>
        <v>0.01</v>
      </c>
      <c r="I147" s="92" t="n">
        <f aca="false">+H147</f>
        <v>0.01</v>
      </c>
      <c r="J147" s="92" t="n">
        <f aca="false">+I147</f>
        <v>0.01</v>
      </c>
    </row>
    <row r="148" customFormat="false" ht="12.75" hidden="false" customHeight="false" outlineLevel="0" collapsed="false">
      <c r="B148" s="61" t="s">
        <v>412</v>
      </c>
      <c r="E148" s="75"/>
      <c r="F148" s="75" t="n">
        <f aca="false">+F146*F147</f>
        <v>0.025</v>
      </c>
      <c r="G148" s="75" t="n">
        <f aca="false">+G146*G147</f>
        <v>0.058</v>
      </c>
      <c r="H148" s="75" t="n">
        <f aca="false">+H146*H147</f>
        <v>0.074</v>
      </c>
      <c r="I148" s="75" t="n">
        <f aca="false">+I146*I147</f>
        <v>0.09</v>
      </c>
      <c r="J148" s="75" t="n">
        <f aca="false">+J146*J147</f>
        <v>0.106</v>
      </c>
    </row>
    <row r="149" customFormat="false" ht="12.75" hidden="false" customHeight="false" outlineLevel="0" collapsed="false">
      <c r="E149" s="75"/>
      <c r="F149" s="75"/>
      <c r="G149" s="75"/>
      <c r="H149" s="75"/>
      <c r="I149" s="75"/>
      <c r="J149" s="75"/>
    </row>
    <row r="150" customFormat="false" ht="12.75" hidden="false" customHeight="false" outlineLevel="0" collapsed="false">
      <c r="B150" s="61" t="s">
        <v>413</v>
      </c>
      <c r="E150" s="75"/>
      <c r="F150" s="75" t="n">
        <f aca="false">+F115+F125+F136+F139</f>
        <v>-20.6466654342737</v>
      </c>
      <c r="G150" s="75" t="n">
        <f aca="false">+G115+G125+G136+G139</f>
        <v>-20.7720528266079</v>
      </c>
      <c r="H150" s="75" t="n">
        <f aca="false">+H115+H125+H136+H139</f>
        <v>-20.6923373690288</v>
      </c>
      <c r="I150" s="75" t="n">
        <f aca="false">+I115+I125+I136+I139</f>
        <v>-20.5581827924645</v>
      </c>
      <c r="J150" s="75" t="n">
        <f aca="false">+J115+J125+J136+J139</f>
        <v>-20.3317511704836</v>
      </c>
    </row>
    <row r="151" customFormat="false" ht="12.75" hidden="false" customHeight="false" outlineLevel="0" collapsed="false">
      <c r="F151" s="102"/>
      <c r="G151" s="102"/>
      <c r="H151" s="102"/>
      <c r="I151" s="102"/>
      <c r="J151" s="102"/>
    </row>
    <row r="152" customFormat="false" ht="12.75" hidden="false" customHeight="false" outlineLevel="0" collapsed="false">
      <c r="A152" s="61" t="s">
        <v>348</v>
      </c>
      <c r="B152" s="85" t="s">
        <v>414</v>
      </c>
      <c r="C152" s="85"/>
      <c r="D152" s="85"/>
      <c r="E152" s="85" t="n">
        <v>2013</v>
      </c>
      <c r="F152" s="85" t="n">
        <f aca="false">E152+1</f>
        <v>2014</v>
      </c>
      <c r="G152" s="85" t="n">
        <f aca="false">F152+1</f>
        <v>2015</v>
      </c>
      <c r="H152" s="85" t="n">
        <f aca="false">G152+1</f>
        <v>2016</v>
      </c>
      <c r="I152" s="85" t="n">
        <f aca="false">H152+1</f>
        <v>2017</v>
      </c>
      <c r="J152" s="85" t="n">
        <f aca="false">I152+1</f>
        <v>2018</v>
      </c>
    </row>
    <row r="153" customFormat="false" ht="12.75" hidden="false" customHeight="false" outlineLevel="0" collapsed="false">
      <c r="B153" s="61" t="s">
        <v>125</v>
      </c>
      <c r="E153" s="75"/>
      <c r="F153" s="75" t="n">
        <f aca="false">+F31</f>
        <v>42</v>
      </c>
      <c r="G153" s="75" t="n">
        <f aca="false">+G31</f>
        <v>44.1</v>
      </c>
      <c r="H153" s="75" t="n">
        <f aca="false">+H31</f>
        <v>46.305</v>
      </c>
      <c r="I153" s="75" t="n">
        <f aca="false">+I31</f>
        <v>48.62025</v>
      </c>
      <c r="J153" s="75" t="n">
        <f aca="false">+J31</f>
        <v>51.0512625</v>
      </c>
    </row>
    <row r="154" customFormat="false" ht="12.75" hidden="false" customHeight="false" outlineLevel="0" collapsed="false">
      <c r="B154" s="61" t="s">
        <v>320</v>
      </c>
      <c r="F154" s="103" t="n">
        <f aca="false">+$E$4</f>
        <v>9</v>
      </c>
      <c r="G154" s="103" t="n">
        <f aca="false">+$E$4</f>
        <v>9</v>
      </c>
      <c r="H154" s="103" t="n">
        <f aca="false">+$E$4</f>
        <v>9</v>
      </c>
      <c r="I154" s="103" t="n">
        <f aca="false">+$E$4</f>
        <v>9</v>
      </c>
      <c r="J154" s="103" t="n">
        <f aca="false">+$E$4</f>
        <v>9</v>
      </c>
    </row>
    <row r="155" customFormat="false" ht="12.75" hidden="false" customHeight="false" outlineLevel="0" collapsed="false">
      <c r="B155" s="81" t="s">
        <v>415</v>
      </c>
      <c r="C155" s="81"/>
      <c r="D155" s="81"/>
      <c r="E155" s="82"/>
      <c r="F155" s="82" t="n">
        <f aca="false">+F153*F154</f>
        <v>378</v>
      </c>
      <c r="G155" s="82" t="n">
        <f aca="false">+G153*G154</f>
        <v>396.9</v>
      </c>
      <c r="H155" s="82" t="n">
        <f aca="false">+H153*H154</f>
        <v>416.745</v>
      </c>
      <c r="I155" s="82" t="n">
        <f aca="false">+I153*I154</f>
        <v>437.58225</v>
      </c>
      <c r="J155" s="82" t="n">
        <f aca="false">+J153*J154</f>
        <v>561.5638875</v>
      </c>
    </row>
    <row r="156" customFormat="false" ht="12.75" hidden="false" customHeight="false" outlineLevel="0" collapsed="false">
      <c r="B156" s="61" t="s">
        <v>416</v>
      </c>
      <c r="E156" s="75"/>
      <c r="F156" s="75" t="n">
        <f aca="false">+-F67+F62</f>
        <v>-234.733298122107</v>
      </c>
      <c r="G156" s="75" t="n">
        <f aca="false">+-G67+G62</f>
        <v>-227.067068139604</v>
      </c>
      <c r="H156" s="75" t="n">
        <f aca="false">+-H67+H62</f>
        <v>-218.44741707252</v>
      </c>
      <c r="I156" s="75" t="n">
        <f aca="false">+-I67+I62</f>
        <v>-208.252876028334</v>
      </c>
      <c r="J156" s="75" t="n">
        <f aca="false">+-J67+J62</f>
        <v>-200.554793557771</v>
      </c>
    </row>
    <row r="157" customFormat="false" ht="12.75" hidden="false" customHeight="false" outlineLevel="0" collapsed="false">
      <c r="B157" s="81" t="s">
        <v>417</v>
      </c>
      <c r="C157" s="81"/>
      <c r="D157" s="81"/>
      <c r="E157" s="82"/>
      <c r="F157" s="82" t="n">
        <f aca="false">+SUM(F155:F156)</f>
        <v>143.266701877893</v>
      </c>
      <c r="G157" s="82" t="n">
        <f aca="false">+SUM(G155:G156)</f>
        <v>169.832931860396</v>
      </c>
      <c r="H157" s="82" t="n">
        <f aca="false">+SUM(H155:H156)</f>
        <v>198.29758292748</v>
      </c>
      <c r="I157" s="82" t="n">
        <f aca="false">+SUM(I155:I156)</f>
        <v>229.329373971666</v>
      </c>
      <c r="J157" s="82" t="n">
        <f aca="false">+SUM(J155:J156)</f>
        <v>258.906568942229</v>
      </c>
    </row>
    <row r="158" customFormat="false" ht="12.75" hidden="false" customHeight="false" outlineLevel="0" collapsed="false">
      <c r="B158" s="61" t="s">
        <v>418</v>
      </c>
      <c r="E158" s="75"/>
      <c r="F158" s="75" t="n">
        <f aca="false">+-F157*$K$158</f>
        <v>-39.5521569601545</v>
      </c>
      <c r="G158" s="75" t="n">
        <f aca="false">+-G157*$K$158</f>
        <v>-46.8863922313976</v>
      </c>
      <c r="H158" s="75" t="n">
        <f aca="false">+-H157*$K$158</f>
        <v>-54.7447314830467</v>
      </c>
      <c r="I158" s="75" t="n">
        <f aca="false">+-I157*$K$158</f>
        <v>-63.311790360276</v>
      </c>
      <c r="J158" s="75" t="n">
        <f aca="false">+-J157*$K$158</f>
        <v>-71.4772736343578</v>
      </c>
      <c r="K158" s="104" t="n">
        <f aca="false">E13/SUM(E13:E14)</f>
        <v>0.276073619631902</v>
      </c>
    </row>
    <row r="159" customFormat="false" ht="12.75" hidden="false" customHeight="false" outlineLevel="0" collapsed="false">
      <c r="B159" s="81" t="s">
        <v>419</v>
      </c>
      <c r="C159" s="81"/>
      <c r="D159" s="81"/>
      <c r="E159" s="82"/>
      <c r="F159" s="82" t="n">
        <f aca="false">SUM(F157:F158)</f>
        <v>103.714544917738</v>
      </c>
      <c r="G159" s="82" t="n">
        <f aca="false">SUM(G157:G158)</f>
        <v>122.946539628998</v>
      </c>
      <c r="H159" s="82" t="n">
        <f aca="false">SUM(H157:H158)</f>
        <v>143.552851444434</v>
      </c>
      <c r="I159" s="82" t="n">
        <f aca="false">SUM(I157:I158)</f>
        <v>166.01758361139</v>
      </c>
      <c r="J159" s="82" t="n">
        <f aca="false">SUM(J157:J158)</f>
        <v>187.429295307872</v>
      </c>
    </row>
    <row r="160" customFormat="false" ht="12.75" hidden="false" customHeight="false" outlineLevel="0" collapsed="false">
      <c r="E160" s="75"/>
      <c r="F160" s="75"/>
      <c r="G160" s="75"/>
      <c r="H160" s="75"/>
      <c r="I160" s="75"/>
      <c r="J160" s="75"/>
    </row>
    <row r="161" customFormat="false" ht="12.75" hidden="false" customHeight="false" outlineLevel="0" collapsed="false">
      <c r="B161" s="106" t="n">
        <v>41639</v>
      </c>
      <c r="E161" s="75"/>
      <c r="F161" s="75" t="n">
        <f aca="false">+-$E$14</f>
        <v>-166.4</v>
      </c>
      <c r="G161" s="75" t="n">
        <f aca="false">+-$E$14</f>
        <v>-166.4</v>
      </c>
      <c r="H161" s="75" t="n">
        <f aca="false">+-$E$14</f>
        <v>-166.4</v>
      </c>
      <c r="I161" s="75" t="n">
        <f aca="false">+-$E$14</f>
        <v>-166.4</v>
      </c>
      <c r="J161" s="75" t="n">
        <f aca="false">+-$E$14</f>
        <v>-166.4</v>
      </c>
    </row>
    <row r="162" customFormat="false" ht="12.75" hidden="false" customHeight="false" outlineLevel="0" collapsed="false">
      <c r="B162" s="106" t="n">
        <f aca="false">DATE(YEAR(B161)+1,MONTH(B161),DAY(B161))</f>
        <v>42004</v>
      </c>
      <c r="E162" s="75"/>
      <c r="F162" s="75" t="n">
        <f aca="false">+F159</f>
        <v>103.714544917738</v>
      </c>
      <c r="G162" s="75"/>
      <c r="H162" s="75"/>
      <c r="I162" s="75"/>
      <c r="J162" s="75"/>
    </row>
    <row r="163" customFormat="false" ht="12.75" hidden="false" customHeight="false" outlineLevel="0" collapsed="false">
      <c r="B163" s="106" t="n">
        <f aca="false">DATE(YEAR(B162)+1,MONTH(B162),DAY(B162))</f>
        <v>42369</v>
      </c>
      <c r="E163" s="75"/>
      <c r="F163" s="75"/>
      <c r="G163" s="75" t="n">
        <f aca="false">+G159</f>
        <v>122.946539628998</v>
      </c>
      <c r="H163" s="75"/>
      <c r="I163" s="75"/>
      <c r="J163" s="75"/>
    </row>
    <row r="164" customFormat="false" ht="12.75" hidden="false" customHeight="false" outlineLevel="0" collapsed="false">
      <c r="B164" s="106" t="n">
        <f aca="false">DATE(YEAR(B163)+1,MONTH(B163),DAY(B163))</f>
        <v>42735</v>
      </c>
      <c r="E164" s="75"/>
      <c r="F164" s="75"/>
      <c r="G164" s="75"/>
      <c r="H164" s="75" t="n">
        <f aca="false">+H159</f>
        <v>143.552851444434</v>
      </c>
      <c r="I164" s="75"/>
      <c r="J164" s="75"/>
    </row>
    <row r="165" customFormat="false" ht="12.75" hidden="false" customHeight="false" outlineLevel="0" collapsed="false">
      <c r="B165" s="106" t="n">
        <f aca="false">DATE(YEAR(B164)+1,MONTH(B164),DAY(B164))</f>
        <v>43100</v>
      </c>
      <c r="E165" s="75"/>
      <c r="F165" s="75"/>
      <c r="G165" s="75"/>
      <c r="H165" s="75"/>
      <c r="I165" s="75" t="n">
        <f aca="false">+I159</f>
        <v>166.01758361139</v>
      </c>
      <c r="J165" s="75"/>
    </row>
    <row r="166" customFormat="false" ht="12.75" hidden="false" customHeight="false" outlineLevel="0" collapsed="false">
      <c r="B166" s="106" t="n">
        <f aca="false">DATE(YEAR(B165)+1,MONTH(B165),DAY(B165))</f>
        <v>43465</v>
      </c>
      <c r="E166" s="75"/>
      <c r="F166" s="75"/>
      <c r="G166" s="75"/>
      <c r="H166" s="75"/>
      <c r="I166" s="75"/>
      <c r="J166" s="75" t="n">
        <f aca="false">+J159</f>
        <v>187.429295307872</v>
      </c>
    </row>
    <row r="167" customFormat="false" ht="12.75" hidden="false" customHeight="false" outlineLevel="0" collapsed="false">
      <c r="B167" s="81" t="s">
        <v>156</v>
      </c>
      <c r="C167" s="81"/>
      <c r="D167" s="81"/>
      <c r="E167" s="81"/>
      <c r="F167" s="107" t="n">
        <f aca="false">XIRR(F161:F166,$B$161:$B$166)</f>
        <v>-0.376715475253976</v>
      </c>
      <c r="G167" s="107" t="n">
        <f aca="false">XIRR(G161:G166,$B$161:$B$166)</f>
        <v>-0.140429516537676</v>
      </c>
      <c r="H167" s="107" t="n">
        <f aca="false">XIRR(H161:H166,$B$161:$B$166)</f>
        <v>-0.0479954846138124</v>
      </c>
      <c r="I167" s="107" t="n">
        <f aca="false">XIRR(I161:I166,$B$161:$B$166)</f>
        <v>-0.000574646188796789</v>
      </c>
      <c r="J167" s="107" t="n">
        <f aca="false">XIRR(J161:J166,$B$161:$B$166)</f>
        <v>0.146939396528575</v>
      </c>
    </row>
    <row r="168" customFormat="false" ht="12.75" hidden="false" customHeight="false" outlineLevel="0" collapsed="false">
      <c r="B168" s="61" t="s">
        <v>420</v>
      </c>
      <c r="F168" s="103" t="n">
        <f aca="false">+F162/F161*-1</f>
        <v>0.623284524746025</v>
      </c>
      <c r="G168" s="103" t="n">
        <f aca="false">+G163/G161*-1</f>
        <v>0.738861416039653</v>
      </c>
      <c r="H168" s="103" t="n">
        <f aca="false">+H164/H161*-1</f>
        <v>0.862697424545875</v>
      </c>
      <c r="I168" s="103" t="n">
        <f aca="false">+I165/I161*-1</f>
        <v>0.997701824587682</v>
      </c>
      <c r="J168" s="103" t="n">
        <f aca="false">+J166/J161*-1</f>
        <v>1.98547982317661</v>
      </c>
    </row>
    <row r="169" customFormat="false" ht="12.75" hidden="false" customHeight="false" outlineLevel="0" collapsed="false">
      <c r="F169" s="102"/>
      <c r="G169" s="102"/>
      <c r="H169" s="102"/>
      <c r="I169" s="102"/>
      <c r="J169" s="102"/>
    </row>
    <row r="170" customFormat="false" ht="12.75" hidden="false" customHeight="false" outlineLevel="0" collapsed="false">
      <c r="A170" s="61" t="s">
        <v>421</v>
      </c>
      <c r="B170" s="85" t="s">
        <v>422</v>
      </c>
      <c r="C170" s="85"/>
      <c r="D170" s="85"/>
      <c r="E170" s="85"/>
      <c r="F170" s="85"/>
      <c r="G170" s="85"/>
      <c r="H170" s="85"/>
      <c r="I170" s="85"/>
      <c r="J170" s="85"/>
    </row>
    <row r="171" customFormat="false" ht="12.75" hidden="false" customHeight="false" outlineLevel="0" collapsed="false">
      <c r="F171" s="102"/>
      <c r="G171" s="102"/>
      <c r="H171" s="102"/>
      <c r="I171" s="102"/>
      <c r="J171" s="102"/>
    </row>
    <row r="172" customFormat="false" ht="12.75" hidden="false" customHeight="false" outlineLevel="0" collapsed="false">
      <c r="D172" s="108" t="s">
        <v>320</v>
      </c>
      <c r="E172" s="108"/>
      <c r="F172" s="108"/>
      <c r="G172" s="108"/>
      <c r="H172" s="108"/>
      <c r="J172" s="102"/>
    </row>
    <row r="173" customFormat="false" ht="12.75" hidden="false" customHeight="false" outlineLevel="0" collapsed="false">
      <c r="C173" s="109" t="n">
        <f aca="false">+J167</f>
        <v>0.146939396528575</v>
      </c>
      <c r="D173" s="110" t="n">
        <v>7</v>
      </c>
      <c r="E173" s="110" t="n">
        <f aca="false">D173+1</f>
        <v>8</v>
      </c>
      <c r="F173" s="110" t="n">
        <f aca="false">E173+1</f>
        <v>9</v>
      </c>
      <c r="G173" s="110" t="n">
        <f aca="false">F173+1</f>
        <v>10</v>
      </c>
      <c r="H173" s="110" t="n">
        <f aca="false">G173+1</f>
        <v>11</v>
      </c>
      <c r="J173" s="102"/>
    </row>
    <row r="174" customFormat="false" ht="12.75" hidden="false" customHeight="false" outlineLevel="0" collapsed="false">
      <c r="C174" s="96" t="n">
        <v>7</v>
      </c>
      <c r="D174" s="111" t="n">
        <f aca="true">TABLE($C$173,$E$3,$C174,$J$154,D$173)</f>
        <v>0.146939396528575</v>
      </c>
      <c r="E174" s="107" t="n">
        <f aca="true">TABLE($C$173,$E$3,$C174,$J$154,E$173)</f>
        <v>0.146939396528575</v>
      </c>
      <c r="F174" s="107" t="n">
        <f aca="true">TABLE($C$173,$E$3,$C174,$J$154,F$173)</f>
        <v>0.146939396528575</v>
      </c>
      <c r="G174" s="107" t="n">
        <f aca="true">TABLE($C$173,$E$3,$C174,$J$154,G$173)</f>
        <v>0.146939396528575</v>
      </c>
      <c r="H174" s="112" t="n">
        <f aca="true">TABLE($C$173,$E$3,$C174,$J$154,H$173)</f>
        <v>0.146939396528575</v>
      </c>
    </row>
    <row r="175" customFormat="false" ht="12.75" hidden="false" customHeight="false" outlineLevel="0" collapsed="false">
      <c r="B175" s="61" t="s">
        <v>424</v>
      </c>
      <c r="C175" s="96" t="n">
        <v>8</v>
      </c>
      <c r="D175" s="113" t="n">
        <f aca="true">TABLE($C$173,$E$3,$C175,$J$154,D$173)</f>
        <v>0.146939396528575</v>
      </c>
      <c r="E175" s="114" t="n">
        <f aca="true">TABLE($C$173,$E$3,$C175,$J$154,E$173)</f>
        <v>0.146939396528575</v>
      </c>
      <c r="F175" s="114" t="n">
        <f aca="true">TABLE($C$173,$E$3,$C175,$J$154,F$173)</f>
        <v>0.146939396528575</v>
      </c>
      <c r="G175" s="114" t="n">
        <f aca="true">TABLE($C$173,$E$3,$C175,$J$154,G$173)</f>
        <v>0.146939396528575</v>
      </c>
      <c r="H175" s="115" t="n">
        <f aca="true">TABLE($C$173,$E$3,$C175,$J$154,H$173)</f>
        <v>0.146939396528575</v>
      </c>
    </row>
    <row r="176" customFormat="false" ht="12.75" hidden="false" customHeight="false" outlineLevel="0" collapsed="false">
      <c r="B176" s="61" t="s">
        <v>425</v>
      </c>
      <c r="C176" s="96" t="n">
        <v>9</v>
      </c>
      <c r="D176" s="113" t="n">
        <f aca="true">TABLE($C$173,$E$3,$C176,$J$154,D$173)</f>
        <v>0.146939396528575</v>
      </c>
      <c r="E176" s="114" t="n">
        <f aca="true">TABLE($C$173,$E$3,$C176,$J$154,E$173)</f>
        <v>0.146939396528575</v>
      </c>
      <c r="F176" s="104" t="n">
        <f aca="true">TABLE($C$173,$E$3,$C176,$J$154,F$173)</f>
        <v>0.146939396528575</v>
      </c>
      <c r="G176" s="114" t="n">
        <f aca="true">TABLE($C$173,$E$3,$C176,$J$154,G$173)</f>
        <v>0.146939396528575</v>
      </c>
      <c r="H176" s="115" t="n">
        <f aca="true">TABLE($C$173,$E$3,$C176,$J$154,H$173)</f>
        <v>0.146939396528575</v>
      </c>
    </row>
    <row r="177" customFormat="false" ht="12.75" hidden="false" customHeight="false" outlineLevel="0" collapsed="false">
      <c r="C177" s="96" t="n">
        <v>10</v>
      </c>
      <c r="D177" s="113" t="n">
        <f aca="true">TABLE($C$173,$E$3,$C177,$J$154,D$173)</f>
        <v>0.146939396528575</v>
      </c>
      <c r="E177" s="114" t="n">
        <f aca="true">TABLE($C$173,$E$3,$C177,$J$154,E$173)</f>
        <v>0.146939396528575</v>
      </c>
      <c r="F177" s="114" t="n">
        <f aca="true">TABLE($C$173,$E$3,$C177,$J$154,F$173)</f>
        <v>0.146939396528575</v>
      </c>
      <c r="G177" s="114" t="n">
        <f aca="true">TABLE($C$173,$E$3,$C177,$J$154,G$173)</f>
        <v>0.146939396528575</v>
      </c>
      <c r="H177" s="115" t="n">
        <f aca="true">TABLE($C$173,$E$3,$C177,$J$154,H$173)</f>
        <v>0.146939396528575</v>
      </c>
    </row>
    <row r="178" customFormat="false" ht="12.75" hidden="false" customHeight="false" outlineLevel="0" collapsed="false">
      <c r="C178" s="96" t="n">
        <v>11</v>
      </c>
      <c r="D178" s="116" t="n">
        <f aca="true">TABLE($C$173,$E$3,$C178,$J$154,D$173)</f>
        <v>0.146939396528575</v>
      </c>
      <c r="E178" s="117" t="n">
        <f aca="true">TABLE($C$173,$E$3,$C178,$J$154,E$173)</f>
        <v>0.146939396528575</v>
      </c>
      <c r="F178" s="117" t="n">
        <f aca="true">TABLE($C$173,$E$3,$C178,$J$154,F$173)</f>
        <v>0.146939396528575</v>
      </c>
      <c r="G178" s="117" t="n">
        <f aca="true">TABLE($C$173,$E$3,$C178,$J$154,G$173)</f>
        <v>0.146939396528575</v>
      </c>
      <c r="H178" s="118" t="n">
        <f aca="true">TABLE($C$173,$E$3,$C178,$J$154,H$173)</f>
        <v>0.146939396528575</v>
      </c>
    </row>
    <row r="180" customFormat="false" ht="12.75" hidden="false" customHeight="false" outlineLevel="0" collapsed="false">
      <c r="D180" s="108" t="s">
        <v>320</v>
      </c>
      <c r="E180" s="108"/>
      <c r="F180" s="108"/>
      <c r="G180" s="108"/>
      <c r="H180" s="108"/>
    </row>
    <row r="181" customFormat="false" ht="12.75" hidden="false" customHeight="false" outlineLevel="0" collapsed="false">
      <c r="C181" s="109" t="n">
        <f aca="false">+J168</f>
        <v>1.98547982317661</v>
      </c>
      <c r="D181" s="119" t="n">
        <v>7</v>
      </c>
      <c r="E181" s="119" t="n">
        <f aca="false">D181+1</f>
        <v>8</v>
      </c>
      <c r="F181" s="119" t="n">
        <f aca="false">E181+1</f>
        <v>9</v>
      </c>
      <c r="G181" s="119" t="n">
        <f aca="false">F181+1</f>
        <v>10</v>
      </c>
      <c r="H181" s="119" t="n">
        <f aca="false">G181+1</f>
        <v>11</v>
      </c>
    </row>
    <row r="182" customFormat="false" ht="12.75" hidden="false" customHeight="false" outlineLevel="0" collapsed="false">
      <c r="C182" s="96" t="n">
        <v>7</v>
      </c>
      <c r="D182" s="138" t="n">
        <f aca="true">TABLE($C$181,$E$3,$C182,$J$154,D$181)</f>
        <v>1.98547982317661</v>
      </c>
      <c r="E182" s="139" t="n">
        <f aca="true">TABLE($C$181,$E$3,$C182,$J$154,E$181)</f>
        <v>1.98547982317661</v>
      </c>
      <c r="F182" s="139" t="n">
        <f aca="true">TABLE($C$181,$E$3,$C182,$J$154,F$181)</f>
        <v>1.98547982317661</v>
      </c>
      <c r="G182" s="139" t="n">
        <f aca="true">TABLE($C$181,$E$3,$C182,$J$154,G$181)</f>
        <v>1.98547982317661</v>
      </c>
      <c r="H182" s="140" t="n">
        <f aca="true">TABLE($C$181,$E$3,$C182,$J$154,H$181)</f>
        <v>1.98547982317661</v>
      </c>
    </row>
    <row r="183" customFormat="false" ht="12.75" hidden="false" customHeight="false" outlineLevel="0" collapsed="false">
      <c r="B183" s="61" t="s">
        <v>424</v>
      </c>
      <c r="C183" s="96" t="n">
        <v>8</v>
      </c>
      <c r="D183" s="141" t="n">
        <f aca="true">TABLE($C$181,$E$3,$C183,$J$154,D$181)</f>
        <v>1.98547982317661</v>
      </c>
      <c r="E183" s="98" t="n">
        <f aca="true">TABLE($C$181,$E$3,$C183,$J$154,E$181)</f>
        <v>1.98547982317661</v>
      </c>
      <c r="F183" s="98" t="n">
        <f aca="true">TABLE($C$181,$E$3,$C183,$J$154,F$181)</f>
        <v>1.98547982317661</v>
      </c>
      <c r="G183" s="98" t="n">
        <f aca="true">TABLE($C$181,$E$3,$C183,$J$154,G$181)</f>
        <v>1.98547982317661</v>
      </c>
      <c r="H183" s="142" t="n">
        <f aca="true">TABLE($C$181,$E$3,$C183,$J$154,H$181)</f>
        <v>1.98547982317661</v>
      </c>
    </row>
    <row r="184" customFormat="false" ht="12.75" hidden="false" customHeight="false" outlineLevel="0" collapsed="false">
      <c r="B184" s="61" t="s">
        <v>425</v>
      </c>
      <c r="C184" s="96" t="n">
        <v>9</v>
      </c>
      <c r="D184" s="141" t="n">
        <f aca="true">TABLE($C$181,$E$3,$C184,$J$154,D$181)</f>
        <v>1.98547982317661</v>
      </c>
      <c r="E184" s="98" t="n">
        <f aca="true">TABLE($C$181,$E$3,$C184,$J$154,E$181)</f>
        <v>1.98547982317661</v>
      </c>
      <c r="F184" s="143" t="n">
        <f aca="true">TABLE($C$181,$E$3,$C184,$J$154,F$181)</f>
        <v>1.98547982317661</v>
      </c>
      <c r="G184" s="98" t="n">
        <f aca="true">TABLE($C$181,$E$3,$C184,$J$154,G$181)</f>
        <v>1.98547982317661</v>
      </c>
      <c r="H184" s="142" t="n">
        <f aca="true">TABLE($C$181,$E$3,$C184,$J$154,H$181)</f>
        <v>1.98547982317661</v>
      </c>
    </row>
    <row r="185" customFormat="false" ht="12.75" hidden="false" customHeight="false" outlineLevel="0" collapsed="false">
      <c r="C185" s="96" t="n">
        <v>10</v>
      </c>
      <c r="D185" s="141" t="n">
        <f aca="true">TABLE($C$181,$E$3,$C185,$J$154,D$181)</f>
        <v>1.98547982317661</v>
      </c>
      <c r="E185" s="98" t="n">
        <f aca="true">TABLE($C$181,$E$3,$C185,$J$154,E$181)</f>
        <v>1.98547982317661</v>
      </c>
      <c r="F185" s="98" t="n">
        <f aca="true">TABLE($C$181,$E$3,$C185,$J$154,F$181)</f>
        <v>1.98547982317661</v>
      </c>
      <c r="G185" s="98" t="n">
        <f aca="true">TABLE($C$181,$E$3,$C185,$J$154,G$181)</f>
        <v>1.98547982317661</v>
      </c>
      <c r="H185" s="142" t="n">
        <f aca="true">TABLE($C$181,$E$3,$C185,$J$154,H$181)</f>
        <v>1.98547982317661</v>
      </c>
    </row>
    <row r="186" customFormat="false" ht="12.75" hidden="false" customHeight="false" outlineLevel="0" collapsed="false">
      <c r="C186" s="96" t="n">
        <v>11</v>
      </c>
      <c r="D186" s="144" t="n">
        <f aca="true">TABLE($C$181,$E$3,$C186,$J$154,D$181)</f>
        <v>1.98547982317661</v>
      </c>
      <c r="E186" s="145" t="n">
        <f aca="true">TABLE($C$181,$E$3,$C186,$J$154,E$181)</f>
        <v>1.98547982317661</v>
      </c>
      <c r="F186" s="145" t="n">
        <f aca="true">TABLE($C$181,$E$3,$C186,$J$154,F$181)</f>
        <v>1.98547982317661</v>
      </c>
      <c r="G186" s="145" t="n">
        <f aca="true">TABLE($C$181,$E$3,$C186,$J$154,G$181)</f>
        <v>1.98547982317661</v>
      </c>
      <c r="H186" s="146" t="n">
        <f aca="true">TABLE($C$181,$E$3,$C186,$J$154,H$181)</f>
        <v>1.98547982317661</v>
      </c>
    </row>
    <row r="188" customFormat="false" ht="12.75" hidden="false" customHeight="false" outlineLevel="0" collapsed="false">
      <c r="A188" s="61" t="s">
        <v>348</v>
      </c>
      <c r="B188" s="85" t="s">
        <v>427</v>
      </c>
      <c r="C188" s="85"/>
      <c r="D188" s="85"/>
      <c r="E188" s="85"/>
      <c r="F188" s="85"/>
      <c r="G188" s="85"/>
      <c r="H188" s="85"/>
      <c r="I188" s="85"/>
      <c r="J188" s="85"/>
    </row>
    <row r="189" customFormat="false" ht="12.75" hidden="false" customHeight="false" outlineLevel="0" collapsed="false">
      <c r="E189" s="130" t="n">
        <v>2013</v>
      </c>
      <c r="F189" s="130" t="n">
        <v>2018</v>
      </c>
      <c r="G189" s="130" t="s">
        <v>411</v>
      </c>
      <c r="H189" s="130" t="s">
        <v>425</v>
      </c>
      <c r="I189" s="130" t="s">
        <v>428</v>
      </c>
      <c r="J189" s="130" t="s">
        <v>429</v>
      </c>
    </row>
    <row r="190" customFormat="false" ht="12.75" hidden="false" customHeight="false" outlineLevel="0" collapsed="false">
      <c r="B190" s="61" t="s">
        <v>430</v>
      </c>
      <c r="E190" s="75"/>
      <c r="F190" s="75"/>
      <c r="G190" s="75"/>
      <c r="H190" s="75"/>
      <c r="I190" s="75" t="n">
        <f aca="false">+E14</f>
        <v>166.4</v>
      </c>
    </row>
    <row r="191" customFormat="false" ht="12.75" hidden="false" customHeight="false" outlineLevel="0" collapsed="false">
      <c r="E191" s="75"/>
      <c r="F191" s="75"/>
      <c r="G191" s="75"/>
      <c r="H191" s="75"/>
      <c r="I191" s="75"/>
    </row>
    <row r="192" customFormat="false" ht="12.75" hidden="false" customHeight="false" outlineLevel="0" collapsed="false">
      <c r="B192" s="93" t="s">
        <v>431</v>
      </c>
      <c r="E192" s="75"/>
      <c r="F192" s="75"/>
      <c r="G192" s="75"/>
      <c r="H192" s="75"/>
      <c r="I192" s="75"/>
    </row>
    <row r="193" customFormat="false" ht="12.75" hidden="false" customHeight="false" outlineLevel="0" collapsed="false">
      <c r="B193" s="61" t="s">
        <v>432</v>
      </c>
      <c r="E193" s="75" t="n">
        <f aca="false">+E62</f>
        <v>0</v>
      </c>
      <c r="F193" s="75" t="n">
        <f aca="false">J62</f>
        <v>11.4</v>
      </c>
      <c r="G193" s="75" t="n">
        <f aca="false">+F193-E193</f>
        <v>11.4</v>
      </c>
      <c r="H193" s="76" t="n">
        <v>1</v>
      </c>
      <c r="I193" s="75" t="n">
        <f aca="false">+G193*H193</f>
        <v>11.4</v>
      </c>
      <c r="J193" s="114" t="n">
        <f aca="false">+I193/$I$202</f>
        <v>0.122542044011758</v>
      </c>
    </row>
    <row r="194" customFormat="false" ht="12.75" hidden="false" customHeight="false" outlineLevel="0" collapsed="false">
      <c r="B194" s="61" t="s">
        <v>389</v>
      </c>
      <c r="E194" s="75" t="n">
        <f aca="false">+E67</f>
        <v>240</v>
      </c>
      <c r="F194" s="75" t="n">
        <f aca="false">+J67</f>
        <v>211.954793557771</v>
      </c>
      <c r="G194" s="75" t="n">
        <f aca="false">+E194-F194</f>
        <v>28.0452064422293</v>
      </c>
      <c r="H194" s="76" t="n">
        <v>1</v>
      </c>
      <c r="I194" s="75" t="n">
        <f aca="false">+G194*H194</f>
        <v>28.0452064422293</v>
      </c>
      <c r="J194" s="114" t="n">
        <f aca="false">+I194/$I$202</f>
        <v>0.30146639668092</v>
      </c>
    </row>
    <row r="195" customFormat="false" ht="12.75" hidden="false" customHeight="false" outlineLevel="0" collapsed="false">
      <c r="B195" s="61" t="s">
        <v>433</v>
      </c>
      <c r="E195" s="75" t="n">
        <f aca="false">+E31</f>
        <v>40</v>
      </c>
      <c r="F195" s="75" t="n">
        <f aca="false">J31</f>
        <v>51.0512625</v>
      </c>
      <c r="G195" s="75" t="n">
        <f aca="false">+F195-E195</f>
        <v>11.0512625</v>
      </c>
      <c r="H195" s="76" t="n">
        <v>9</v>
      </c>
      <c r="I195" s="75" t="n">
        <f aca="false">+G195*H195</f>
        <v>99.4613625000001</v>
      </c>
      <c r="J195" s="114" t="n">
        <f aca="false">+I195/$I$202</f>
        <v>1.06914023341617</v>
      </c>
    </row>
    <row r="196" customFormat="false" ht="12.75" hidden="false" customHeight="false" outlineLevel="0" collapsed="false">
      <c r="B196" s="61" t="s">
        <v>434</v>
      </c>
      <c r="E196" s="75" t="n">
        <f aca="false">+E3</f>
        <v>9</v>
      </c>
      <c r="F196" s="75" t="n">
        <f aca="false">+E4</f>
        <v>9</v>
      </c>
      <c r="G196" s="75" t="n">
        <f aca="false">+F196-E196</f>
        <v>0</v>
      </c>
      <c r="H196" s="75" t="n">
        <f aca="false">+F195</f>
        <v>51.0512625</v>
      </c>
      <c r="I196" s="75" t="n">
        <f aca="false">+G196*H196</f>
        <v>0</v>
      </c>
      <c r="J196" s="114" t="n">
        <f aca="false">+I196/$I$202</f>
        <v>0</v>
      </c>
    </row>
    <row r="197" customFormat="false" ht="12.75" hidden="false" customHeight="false" outlineLevel="0" collapsed="false">
      <c r="B197" s="81" t="s">
        <v>435</v>
      </c>
      <c r="C197" s="81"/>
      <c r="D197" s="81"/>
      <c r="E197" s="82"/>
      <c r="F197" s="82"/>
      <c r="G197" s="82"/>
      <c r="H197" s="82"/>
      <c r="I197" s="82" t="n">
        <f aca="false">SUM(I193:I196)</f>
        <v>138.906568942229</v>
      </c>
      <c r="J197" s="107" t="n">
        <f aca="false">SUM(J193:J196)</f>
        <v>1.49314867410885</v>
      </c>
    </row>
    <row r="198" customFormat="false" ht="12.75" hidden="false" customHeight="false" outlineLevel="0" collapsed="false">
      <c r="B198" s="61" t="s">
        <v>436</v>
      </c>
      <c r="E198" s="75"/>
      <c r="F198" s="75"/>
      <c r="G198" s="75"/>
      <c r="H198" s="75"/>
      <c r="I198" s="75" t="n">
        <f aca="false">+-J12</f>
        <v>-5</v>
      </c>
      <c r="J198" s="114" t="n">
        <f aca="false">+I198/$I$202</f>
        <v>-0.0537465105314727</v>
      </c>
    </row>
    <row r="199" customFormat="false" ht="12.75" hidden="false" customHeight="false" outlineLevel="0" collapsed="false">
      <c r="B199" s="61" t="s">
        <v>437</v>
      </c>
      <c r="E199" s="75"/>
      <c r="F199" s="75"/>
      <c r="G199" s="75"/>
      <c r="H199" s="75"/>
      <c r="I199" s="75" t="n">
        <f aca="false">+-J13</f>
        <v>-5.4</v>
      </c>
      <c r="J199" s="114" t="n">
        <f aca="false">+I199/$I$202</f>
        <v>-0.0580462313739905</v>
      </c>
    </row>
    <row r="200" customFormat="false" ht="12.75" hidden="false" customHeight="false" outlineLevel="0" collapsed="false">
      <c r="B200" s="81" t="s">
        <v>438</v>
      </c>
      <c r="C200" s="81"/>
      <c r="D200" s="81"/>
      <c r="E200" s="82"/>
      <c r="F200" s="82"/>
      <c r="G200" s="82"/>
      <c r="H200" s="82"/>
      <c r="I200" s="82" t="n">
        <f aca="false">SUM(I197:I199)</f>
        <v>128.506568942229</v>
      </c>
      <c r="J200" s="107" t="n">
        <f aca="false">SUM(J197:J199)</f>
        <v>1.38135593220339</v>
      </c>
    </row>
    <row r="201" customFormat="false" ht="12.75" hidden="false" customHeight="false" outlineLevel="0" collapsed="false">
      <c r="B201" s="61" t="s">
        <v>439</v>
      </c>
      <c r="E201" s="75"/>
      <c r="F201" s="75"/>
      <c r="G201" s="75"/>
      <c r="H201" s="75"/>
      <c r="I201" s="75" t="n">
        <f aca="false">+-I200*K158</f>
        <v>-35.4772736343578</v>
      </c>
      <c r="J201" s="114" t="n">
        <f aca="false">+I201/$I$202</f>
        <v>-0.38135593220339</v>
      </c>
    </row>
    <row r="202" customFormat="false" ht="12.75" hidden="false" customHeight="false" outlineLevel="0" collapsed="false">
      <c r="B202" s="81" t="s">
        <v>440</v>
      </c>
      <c r="C202" s="81"/>
      <c r="D202" s="81"/>
      <c r="E202" s="82"/>
      <c r="F202" s="82"/>
      <c r="G202" s="82"/>
      <c r="H202" s="82"/>
      <c r="I202" s="82" t="n">
        <f aca="false">SUM(I200:I201)</f>
        <v>93.0292953078716</v>
      </c>
      <c r="J202" s="107" t="n">
        <f aca="false">SUM(J200:J201)</f>
        <v>1</v>
      </c>
    </row>
    <row r="203" customFormat="false" ht="12.75" hidden="false" customHeight="false" outlineLevel="0" collapsed="false">
      <c r="E203" s="75"/>
      <c r="F203" s="75"/>
      <c r="G203" s="75"/>
      <c r="H203" s="75"/>
      <c r="I203" s="75"/>
    </row>
    <row r="204" customFormat="false" ht="12.75" hidden="false" customHeight="false" outlineLevel="0" collapsed="false">
      <c r="B204" s="61" t="s">
        <v>441</v>
      </c>
      <c r="E204" s="75"/>
      <c r="F204" s="75"/>
      <c r="G204" s="75"/>
      <c r="H204" s="75"/>
      <c r="I204" s="75" t="n">
        <f aca="false">+I190+I202</f>
        <v>259.429295307872</v>
      </c>
    </row>
    <row r="205" customFormat="false" ht="12.75" hidden="false" customHeight="false" outlineLevel="0" collapsed="false">
      <c r="B205" s="61" t="s">
        <v>442</v>
      </c>
      <c r="E205" s="75"/>
      <c r="F205" s="75"/>
      <c r="G205" s="75"/>
      <c r="H205" s="75"/>
      <c r="I205" s="75" t="n">
        <f aca="false">+J159</f>
        <v>187.429295307872</v>
      </c>
    </row>
    <row r="207" s="131" customFormat="true" ht="12.75" hidden="false" customHeight="false" outlineLevel="0" collapsed="false">
      <c r="A207" s="131" t="s">
        <v>348</v>
      </c>
      <c r="B207" s="131" t="s">
        <v>443</v>
      </c>
      <c r="I207" s="132" t="n">
        <f aca="false">I204-I205</f>
        <v>72</v>
      </c>
    </row>
  </sheetData>
  <mergeCells count="6">
    <mergeCell ref="B2:J2"/>
    <mergeCell ref="B10:E10"/>
    <mergeCell ref="G10:J10"/>
    <mergeCell ref="B17:E17"/>
    <mergeCell ref="D172:H172"/>
    <mergeCell ref="D180:H1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2019-07-25T03:27:10Z</dcterms:created>
  <dc:creator>Julia Mahterian</dc:creator>
  <dc:description/>
  <dc:language>en-US</dc:language>
  <cp:lastModifiedBy>Julia Mahterian</cp:lastModifiedBy>
  <dcterms:modified xsi:type="dcterms:W3CDTF">2026-09-06T18:42:57Z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