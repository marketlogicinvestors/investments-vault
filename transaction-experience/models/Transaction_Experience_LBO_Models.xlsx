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worksheets/sheet21.xml" ContentType="application/vnd.openxmlformats-officedocument.spreadsheetml.worksheet+xml"/>
  <Override PartName="/xl/drawings/drawing2.xml" ContentType="application/vnd.openxmlformats-officedocument.drawing+xml"/>
  <Override PartName="/xl/worksheets/sheet22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01 KKR-Varsity 2024" sheetId="3" state="visible" r:id="rId3"/>
    <sheet xmlns:r="http://schemas.openxmlformats.org/officeDocument/2006/relationships" name="P02 Bain-Varsity 2018" sheetId="4" state="visible" r:id="rId4"/>
    <sheet xmlns:r="http://schemas.openxmlformats.org/officeDocument/2006/relationships" name="P03 Charlesbank-Varsity 2014" sheetId="5" state="visible" r:id="rId5"/>
    <sheet xmlns:r="http://schemas.openxmlformats.org/officeDocument/2006/relationships" name="P04 LGP-Varsity 2003" sheetId="6" state="visible" r:id="rId6"/>
    <sheet xmlns:r="http://schemas.openxmlformats.org/officeDocument/2006/relationships" name="P05 ONCAP-SportSupply 2010" sheetId="7" state="visible" r:id="rId7"/>
    <sheet xmlns:r="http://schemas.openxmlformats.org/officeDocument/2006/relationships" name="P06 Cerberus-Chrysler 2007" sheetId="8" state="visible" r:id="rId8"/>
    <sheet xmlns:r="http://schemas.openxmlformats.org/officeDocument/2006/relationships" name="P07 Caterpillar-Bucyrus 2011" sheetId="9" state="visible" r:id="rId9"/>
    <sheet xmlns:r="http://schemas.openxmlformats.org/officeDocument/2006/relationships" name="P08 NRG-DirectEnergy 2021" sheetId="10" state="visible" r:id="rId10"/>
    <sheet xmlns:r="http://schemas.openxmlformats.org/officeDocument/2006/relationships" name="P09 WindPoint-Pacific 2001" sheetId="11" state="visible" r:id="rId11"/>
    <sheet xmlns:r="http://schemas.openxmlformats.org/officeDocument/2006/relationships" name="P10 Pegasus-Cannondale 2003" sheetId="12" state="visible" r:id="rId12"/>
    <sheet xmlns:r="http://schemas.openxmlformats.org/officeDocument/2006/relationships" name="P11 Cerberus-Dorel 2021 TERM" sheetId="13" state="visible" r:id="rId13"/>
    <sheet xmlns:r="http://schemas.openxmlformats.org/officeDocument/2006/relationships" name="F01 KKR-Varsity 2024" sheetId="14" state="visible" r:id="rId14"/>
    <sheet xmlns:r="http://schemas.openxmlformats.org/officeDocument/2006/relationships" name="F02 Bain-Varsity 2018" sheetId="15" state="visible" r:id="rId15"/>
    <sheet xmlns:r="http://schemas.openxmlformats.org/officeDocument/2006/relationships" name="F03 Cerberus-Chrysler 2007" sheetId="16" state="visible" r:id="rId16"/>
    <sheet xmlns:r="http://schemas.openxmlformats.org/officeDocument/2006/relationships" name="F04 CAT-Bucyrus 2011 STRAT" sheetId="17" state="visible" r:id="rId17"/>
    <sheet xmlns:r="http://schemas.openxmlformats.org/officeDocument/2006/relationships" name="M01 SUN-NuStar 2024" sheetId="18" state="visible" r:id="rId18"/>
    <sheet xmlns:r="http://schemas.openxmlformats.org/officeDocument/2006/relationships" name="M02 SUN-Parkland 2025" sheetId="19" state="visible" r:id="rId19"/>
    <sheet xmlns:r="http://schemas.openxmlformats.org/officeDocument/2006/relationships" name="Paper LBO" sheetId="20" state="visible" r:id="rId20"/>
    <sheet xmlns:r="http://schemas.openxmlformats.org/officeDocument/2006/relationships" name="45 Min LBO Prompt" sheetId="21" state="visible" r:id="rId21"/>
    <sheet xmlns:r="http://schemas.openxmlformats.org/officeDocument/2006/relationships" name="LBO Model Solution" sheetId="22" state="visible" r:id="rId22"/>
  </sheets>
  <definedNames>
    <definedName name="circ" hidden="0" function="0" vbProcedure="0">'LBO Model Solution'!$I$8</definedName>
  </definedNames>
  <calcPr calcId="124519" fullCalcOnLoad="1" refMode="A1" iterate="1" iterateCount="100" iterateDelta="0.001"/>
</workbook>
</file>

<file path=xl/styles.xml><?xml version="1.0" encoding="utf-8"?>
<styleSheet xmlns="http://schemas.openxmlformats.org/spreadsheetml/2006/main">
  <numFmts count="18">
    <numFmt numFmtId="164" formatCode="#,##0.0;\(#,##0.0\);\-"/>
    <numFmt numFmtId="165" formatCode="0.0\x"/>
    <numFmt numFmtId="166" formatCode="0.0%"/>
    <numFmt numFmtId="167" formatCode="\$#,##0_);[RED]&quot;($&quot;#,##0\)"/>
    <numFmt numFmtId="168" formatCode="yyyy\-mm\-dd"/>
    <numFmt numFmtId="169" formatCode="\$#,##0_);&quot;($&quot;#,##0\)"/>
    <numFmt numFmtId="170" formatCode="_(\$##,##0.0_);&quot;($&quot;#,##0.0\);_(\-_);_(@_)"/>
    <numFmt numFmtId="171" formatCode="0.0"/>
    <numFmt numFmtId="172" formatCode="0.0_);\(0.0\)"/>
    <numFmt numFmtId="173" formatCode="m/d/yyyy"/>
    <numFmt numFmtId="174" formatCode=";;;"/>
    <numFmt numFmtId="175" formatCode="0.00\x"/>
    <numFmt numFmtId="176" formatCode="0.000_);\(0.000\)"/>
    <numFmt numFmtId="177" formatCode="#,##0.0;(#,##0.0);-"/>
    <numFmt numFmtId="178" formatCode="#,##0.000"/>
    <numFmt numFmtId="179" formatCode="$0.00"/>
    <numFmt numFmtId="180" formatCode="0.00x"/>
    <numFmt numFmtId="181" formatCode="0.0000"/>
  </numFmts>
  <fonts count="4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redit suisse type roman"/>
      <charset val="1"/>
      <family val="0"/>
      <color rgb="FF000000"/>
      <sz val="10"/>
    </font>
    <font>
      <name val="Arial"/>
      <charset val="1"/>
      <family val="0"/>
      <b val="1"/>
      <color rgb="FF1F4E79"/>
      <sz val="16"/>
    </font>
    <font>
      <name val="Arial"/>
      <charset val="1"/>
      <family val="0"/>
      <i val="1"/>
      <color rgb="FF595959"/>
      <sz val="9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4"/>
    </font>
    <font>
      <name val="Calibri"/>
      <charset val="1"/>
      <family val="2"/>
      <b val="1"/>
      <color theme="0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11"/>
      <u val="single"/>
    </font>
    <font>
      <name val="Arial"/>
      <charset val="1"/>
      <family val="0"/>
      <color rgb="FF0000FF"/>
      <sz val="10"/>
    </font>
    <font>
      <name val="Calibri"/>
      <charset val="1"/>
      <family val="2"/>
      <color theme="0"/>
      <sz val="11"/>
    </font>
    <font>
      <name val="Calibri"/>
      <charset val="1"/>
      <family val="2"/>
      <i val="1"/>
      <color theme="1"/>
      <sz val="11"/>
    </font>
    <font>
      <name val="Arial"/>
      <charset val="1"/>
      <family val="0"/>
      <b val="1"/>
      <color rgb="FFC00000"/>
      <sz val="10"/>
    </font>
    <font>
      <name val="Calibri"/>
      <charset val="1"/>
      <family val="2"/>
      <color theme="1"/>
      <sz val="10"/>
    </font>
    <font>
      <name val="Arial"/>
      <charset val="1"/>
      <family val="0"/>
      <b val="1"/>
      <sz val="13"/>
    </font>
    <font>
      <name val="Calibri"/>
      <charset val="1"/>
      <family val="2"/>
      <b val="1"/>
      <color theme="0"/>
      <sz val="10"/>
    </font>
    <font>
      <name val="Calibri"/>
      <charset val="1"/>
      <family val="2"/>
      <color rgb="FF0000FF"/>
      <sz val="10"/>
    </font>
    <font>
      <name val="Calibri"/>
      <charset val="1"/>
      <family val="2"/>
      <color theme="1"/>
      <sz val="9"/>
    </font>
    <font>
      <name val="Calibri"/>
      <charset val="1"/>
      <family val="2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i val="1"/>
      <color theme="1"/>
      <sz val="8"/>
    </font>
    <font>
      <name val="Calibri"/>
      <charset val="1"/>
      <family val="2"/>
      <color theme="1"/>
      <sz val="8"/>
    </font>
    <font>
      <name val="Calibri"/>
      <charset val="1"/>
      <family val="2"/>
      <i val="1"/>
      <color theme="1"/>
      <sz val="10"/>
    </font>
    <font>
      <name val="Calibri"/>
      <charset val="1"/>
      <family val="2"/>
      <i val="1"/>
      <color rgb="FF0000FF"/>
      <sz val="10"/>
    </font>
    <font>
      <name val="Calibri"/>
      <charset val="1"/>
      <family val="2"/>
      <color theme="1"/>
      <sz val="10"/>
      <u val="single"/>
    </font>
    <font>
      <name val="Calibri"/>
      <charset val="1"/>
      <family val="2"/>
      <color rgb="FFFF0000"/>
      <sz val="10"/>
    </font>
    <font>
      <name val="Calibri"/>
      <charset val="1"/>
      <family val="2"/>
      <i val="1"/>
      <color rgb="FFFF0000"/>
      <sz val="10"/>
    </font>
    <font>
      <name val="Arial"/>
      <b val="1"/>
      <sz val="14"/>
    </font>
    <font>
      <name val="Arial"/>
      <b val="1"/>
      <color rgb="00C00000"/>
      <sz val="10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FF1F4E79"/>
        <bgColor rgb="FF44546A"/>
      </patternFill>
    </fill>
    <fill>
      <patternFill patternType="solid">
        <fgColor rgb="FFFDE9D9"/>
        <bgColor rgb="FFFFF2CC"/>
      </patternFill>
    </fill>
    <fill>
      <patternFill patternType="solid">
        <fgColor theme="1"/>
        <bgColor rgb="FF003300"/>
      </patternFill>
    </fill>
    <fill>
      <patternFill patternType="solid">
        <fgColor theme="4"/>
        <bgColor rgb="FF44546A"/>
      </patternFill>
    </fill>
    <fill>
      <patternFill patternType="solid">
        <fgColor rgb="FFFFF2CC"/>
        <bgColor rgb="FFFDE9D9"/>
      </patternFill>
    </fill>
    <fill>
      <patternFill patternType="solid">
        <fgColor theme="3" tint="0.7999000000000001"/>
        <bgColor rgb="FFF2F2F2"/>
      </patternFill>
    </fill>
    <fill>
      <patternFill patternType="solid">
        <fgColor theme="0" tint="-0.05"/>
        <bgColor rgb="FFFDE9D9"/>
      </patternFill>
    </fill>
    <fill>
      <patternFill patternType="solid">
        <fgColor theme="7"/>
        <bgColor rgb="FFFF9900"/>
      </patternFill>
    </fill>
    <fill>
      <patternFill patternType="solid">
        <fgColor rgb="00FDE9D9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</cellStyleXfs>
  <cellXfs count="326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/>
    </xf>
    <xf numFmtId="165" fontId="7" fillId="0" borderId="1" applyAlignment="1" pivotButton="0" quotePrefix="0" xfId="0">
      <alignment horizontal="general" vertical="top"/>
    </xf>
    <xf numFmtId="166" fontId="7" fillId="0" borderId="1" applyAlignment="1" pivotButton="0" quotePrefix="0" xfId="0">
      <alignment horizontal="general" vertical="top"/>
    </xf>
    <xf numFmtId="0" fontId="7" fillId="3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bottom"/>
    </xf>
    <xf numFmtId="0" fontId="11" fillId="5" borderId="0" applyAlignment="1" pivotButton="0" quotePrefix="0" xfId="0">
      <alignment horizontal="center" vertical="bottom"/>
    </xf>
    <xf numFmtId="0" fontId="9" fillId="2" borderId="1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12" fillId="0" borderId="2" applyAlignment="1" pivotButton="0" quotePrefix="0" xfId="0">
      <alignment horizontal="general" vertical="bottom"/>
    </xf>
    <xf numFmtId="167" fontId="12" fillId="0" borderId="2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14" fillId="6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7" fontId="0" fillId="0" borderId="2" applyAlignment="1" pivotButton="0" quotePrefix="0" xfId="0">
      <alignment horizontal="general" vertical="bottom"/>
    </xf>
    <xf numFmtId="164" fontId="14" fillId="6" borderId="1" applyAlignment="1" pivotButton="0" quotePrefix="0" xfId="0">
      <alignment horizontal="general" vertical="bottom"/>
    </xf>
    <xf numFmtId="0" fontId="11" fillId="5" borderId="0" applyAlignment="1" pivotButton="0" quotePrefix="0" xfId="0">
      <alignment horizontal="left" vertical="bottom"/>
    </xf>
    <xf numFmtId="0" fontId="15" fillId="5" borderId="0" applyAlignment="1" pivotButton="0" quotePrefix="0" xfId="0">
      <alignment horizontal="center" vertical="bottom"/>
    </xf>
    <xf numFmtId="0" fontId="11" fillId="5" borderId="0" applyAlignment="1" pivotButton="0" quotePrefix="0" xfId="0">
      <alignment horizontal="center" vertical="bottom"/>
    </xf>
    <xf numFmtId="0" fontId="16" fillId="0" borderId="0" applyAlignment="1" pivotButton="0" quotePrefix="0" xfId="0">
      <alignment horizontal="left" vertical="bottom" indent="1"/>
    </xf>
    <xf numFmtId="167" fontId="16" fillId="0" borderId="0" applyAlignment="1" pivotButton="0" quotePrefix="0" xfId="0">
      <alignment horizontal="general" vertical="bottom"/>
    </xf>
    <xf numFmtId="165" fontId="14" fillId="6" borderId="1" applyAlignment="1" pivotButton="0" quotePrefix="0" xfId="0">
      <alignment horizontal="general" vertical="bottom"/>
    </xf>
    <xf numFmtId="9" fontId="16" fillId="0" borderId="0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8" fontId="14" fillId="6" borderId="1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9" fontId="0" fillId="0" borderId="2" applyAlignment="1" pivotButton="0" quotePrefix="0" xfId="0">
      <alignment horizontal="general" vertical="bottom"/>
    </xf>
    <xf numFmtId="169" fontId="16" fillId="0" borderId="0" applyAlignment="1" pivotButton="0" quotePrefix="0" xfId="0">
      <alignment horizontal="general" vertical="bottom"/>
    </xf>
    <xf numFmtId="0" fontId="12" fillId="7" borderId="2" applyAlignment="1" pivotButton="0" quotePrefix="0" xfId="0">
      <alignment horizontal="general" vertical="bottom"/>
    </xf>
    <xf numFmtId="169" fontId="12" fillId="7" borderId="2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164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9" fontId="14" fillId="6" borderId="0" applyAlignment="1" pivotButton="0" quotePrefix="0" xfId="0">
      <alignment horizontal="general" vertical="bottom"/>
    </xf>
    <xf numFmtId="0" fontId="17" fillId="3" borderId="0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5" borderId="0" applyAlignment="1" pivotButton="0" quotePrefix="0" xfId="0">
      <alignment horizontal="center" vertical="bottom"/>
    </xf>
    <xf numFmtId="165" fontId="14" fillId="0" borderId="0" applyAlignment="1" pivotButton="0" quotePrefix="0" xfId="0">
      <alignment horizontal="general" vertical="bottom"/>
    </xf>
    <xf numFmtId="10" fontId="14" fillId="0" borderId="0" applyAlignment="1" pivotButton="0" quotePrefix="0" xfId="0">
      <alignment horizontal="general" vertical="bottom"/>
    </xf>
    <xf numFmtId="170" fontId="14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9" fontId="14" fillId="0" borderId="0" applyAlignment="1" pivotButton="0" quotePrefix="0" xfId="0">
      <alignment horizontal="general" vertical="bottom"/>
    </xf>
    <xf numFmtId="166" fontId="14" fillId="0" borderId="0" applyAlignment="1" pivotButton="0" quotePrefix="0" xfId="0">
      <alignment horizontal="general" vertical="bottom"/>
    </xf>
    <xf numFmtId="0" fontId="18" fillId="6" borderId="3" applyAlignment="1" pivotButton="0" quotePrefix="0" xfId="0">
      <alignment horizontal="general" vertical="bottom"/>
    </xf>
    <xf numFmtId="0" fontId="18" fillId="6" borderId="4" applyAlignment="1" pivotButton="0" quotePrefix="0" xfId="0">
      <alignment horizontal="general" vertical="bottom"/>
    </xf>
    <xf numFmtId="0" fontId="18" fillId="6" borderId="5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70" fontId="18" fillId="0" borderId="0" applyAlignment="1" pivotButton="0" quotePrefix="0" xfId="0">
      <alignment horizontal="general" vertical="bottom"/>
    </xf>
    <xf numFmtId="170" fontId="23" fillId="0" borderId="0" applyAlignment="1" pivotButton="0" quotePrefix="0" xfId="0">
      <alignment horizontal="general" vertical="bottom"/>
    </xf>
    <xf numFmtId="0" fontId="24" fillId="8" borderId="2" applyAlignment="1" pivotButton="0" quotePrefix="0" xfId="0">
      <alignment horizontal="general" vertical="bottom"/>
    </xf>
    <xf numFmtId="170" fontId="24" fillId="8" borderId="6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18" fillId="0" borderId="2" applyAlignment="1" pivotButton="0" quotePrefix="0" xfId="0">
      <alignment horizontal="general" vertical="bottom"/>
    </xf>
    <xf numFmtId="170" fontId="18" fillId="0" borderId="2" applyAlignment="1" pivotButton="0" quotePrefix="0" xfId="0">
      <alignment horizontal="general" vertical="bottom"/>
    </xf>
    <xf numFmtId="0" fontId="24" fillId="0" borderId="2" applyAlignment="1" pivotButton="0" quotePrefix="0" xfId="0">
      <alignment horizontal="general" vertical="bottom"/>
    </xf>
    <xf numFmtId="170" fontId="24" fillId="0" borderId="2" applyAlignment="1" pivotButton="0" quotePrefix="0" xfId="0">
      <alignment horizontal="general" vertical="bottom"/>
    </xf>
    <xf numFmtId="0" fontId="20" fillId="5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left" vertical="bottom" indent="1"/>
    </xf>
    <xf numFmtId="9" fontId="28" fillId="0" borderId="0" applyAlignment="1" pivotButton="0" quotePrefix="0" xfId="0">
      <alignment horizontal="general" vertical="bottom"/>
    </xf>
    <xf numFmtId="170" fontId="24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bottom" indent="1"/>
    </xf>
    <xf numFmtId="170" fontId="18" fillId="9" borderId="0" applyAlignment="1" pivotButton="0" quotePrefix="0" xfId="0">
      <alignment horizontal="general" vertical="bottom"/>
    </xf>
    <xf numFmtId="9" fontId="21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171" fontId="14" fillId="0" borderId="0" applyAlignment="1" pivotButton="0" quotePrefix="0" xfId="0">
      <alignment horizontal="general" vertical="bottom"/>
    </xf>
    <xf numFmtId="171" fontId="21" fillId="0" borderId="0" applyAlignment="1" pivotButton="0" quotePrefix="0" xfId="0">
      <alignment horizontal="general" vertical="bottom"/>
    </xf>
    <xf numFmtId="165" fontId="21" fillId="0" borderId="0" applyAlignment="1" pivotButton="0" quotePrefix="0" xfId="0">
      <alignment horizontal="general" vertical="bottom"/>
    </xf>
    <xf numFmtId="170" fontId="21" fillId="0" borderId="0" applyAlignment="1" pivotButton="0" quotePrefix="0" xfId="0">
      <alignment horizontal="general" vertical="bottom"/>
    </xf>
    <xf numFmtId="165" fontId="23" fillId="0" borderId="0" applyAlignment="1" pivotButton="0" quotePrefix="0" xfId="0">
      <alignment horizontal="general" vertical="bottom"/>
    </xf>
    <xf numFmtId="166" fontId="23" fillId="0" borderId="0" applyAlignment="1" pivotButton="0" quotePrefix="0" xfId="0">
      <alignment horizontal="general" vertical="bottom"/>
    </xf>
    <xf numFmtId="170" fontId="21" fillId="0" borderId="2" applyAlignment="1" pivotButton="0" quotePrefix="0" xfId="0">
      <alignment horizontal="general" vertical="bottom"/>
    </xf>
    <xf numFmtId="170" fontId="30" fillId="0" borderId="0" applyAlignment="1" pivotButton="0" quotePrefix="0" xfId="0">
      <alignment horizontal="general" vertical="bottom"/>
    </xf>
    <xf numFmtId="172" fontId="18" fillId="0" borderId="0" applyAlignment="1" pivotButton="0" quotePrefix="0" xfId="0">
      <alignment horizontal="general" vertical="bottom"/>
    </xf>
    <xf numFmtId="165" fontId="18" fillId="0" borderId="0" applyAlignment="1" pivotButton="0" quotePrefix="0" xfId="0">
      <alignment horizontal="general" vertical="bottom"/>
    </xf>
    <xf numFmtId="166" fontId="18" fillId="0" borderId="6" applyAlignment="1" pivotButton="0" quotePrefix="0" xfId="0">
      <alignment horizontal="general" vertical="bottom"/>
    </xf>
    <xf numFmtId="173" fontId="14" fillId="0" borderId="0" applyAlignment="1" pivotButton="0" quotePrefix="0" xfId="0">
      <alignment horizontal="general" vertical="bottom"/>
    </xf>
    <xf numFmtId="173" fontId="18" fillId="0" borderId="0" applyAlignment="1" pivotButton="0" quotePrefix="0" xfId="0">
      <alignment horizontal="general" vertical="bottom"/>
    </xf>
    <xf numFmtId="166" fontId="18" fillId="0" borderId="2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174" fontId="18" fillId="0" borderId="0" applyAlignment="1" pivotButton="0" quotePrefix="0" xfId="0">
      <alignment horizontal="general" vertical="bottom"/>
    </xf>
    <xf numFmtId="165" fontId="21" fillId="0" borderId="4" applyAlignment="1" pivotButton="0" quotePrefix="0" xfId="0">
      <alignment horizontal="general" vertical="bottom"/>
    </xf>
    <xf numFmtId="166" fontId="18" fillId="0" borderId="7" applyAlignment="1" pivotButton="0" quotePrefix="0" xfId="0">
      <alignment horizontal="general" vertical="bottom"/>
    </xf>
    <xf numFmtId="166" fontId="18" fillId="0" borderId="8" applyAlignment="1" pivotButton="0" quotePrefix="0" xfId="0">
      <alignment horizontal="general" vertical="bottom"/>
    </xf>
    <xf numFmtId="166" fontId="18" fillId="0" borderId="9" applyAlignment="1" pivotButton="0" quotePrefix="0" xfId="0">
      <alignment horizontal="general" vertical="bottom"/>
    </xf>
    <xf numFmtId="166" fontId="18" fillId="0" borderId="0" applyAlignment="1" pivotButton="0" quotePrefix="0" xfId="0">
      <alignment horizontal="general" vertical="bottom"/>
    </xf>
    <xf numFmtId="166" fontId="18" fillId="0" borderId="10" applyAlignment="1" pivotButton="0" quotePrefix="0" xfId="0">
      <alignment horizontal="general" vertical="bottom"/>
    </xf>
    <xf numFmtId="166" fontId="18" fillId="0" borderId="11" applyAlignment="1" pivotButton="0" quotePrefix="0" xfId="0">
      <alignment horizontal="general" vertical="bottom"/>
    </xf>
    <xf numFmtId="166" fontId="18" fillId="0" borderId="12" applyAlignment="1" pivotButton="0" quotePrefix="0" xfId="0">
      <alignment horizontal="general" vertical="bottom"/>
    </xf>
    <xf numFmtId="166" fontId="18" fillId="0" borderId="13" applyAlignment="1" pivotButton="0" quotePrefix="0" xfId="0">
      <alignment horizontal="general" vertical="bottom"/>
    </xf>
    <xf numFmtId="165" fontId="21" fillId="0" borderId="2" applyAlignment="1" pivotButton="0" quotePrefix="0" xfId="0">
      <alignment horizontal="general" vertical="bottom"/>
    </xf>
    <xf numFmtId="175" fontId="23" fillId="0" borderId="7" applyAlignment="1" pivotButton="0" quotePrefix="0" xfId="0">
      <alignment horizontal="general" vertical="bottom"/>
    </xf>
    <xf numFmtId="175" fontId="23" fillId="0" borderId="2" applyAlignment="1" pivotButton="0" quotePrefix="0" xfId="0">
      <alignment horizontal="general" vertical="bottom"/>
    </xf>
    <xf numFmtId="175" fontId="23" fillId="0" borderId="8" applyAlignment="1" pivotButton="0" quotePrefix="0" xfId="0">
      <alignment horizontal="general" vertical="bottom"/>
    </xf>
    <xf numFmtId="175" fontId="23" fillId="0" borderId="9" applyAlignment="1" pivotButton="0" quotePrefix="0" xfId="0">
      <alignment horizontal="general" vertical="bottom"/>
    </xf>
    <xf numFmtId="175" fontId="23" fillId="0" borderId="0" applyAlignment="1" pivotButton="0" quotePrefix="0" xfId="0">
      <alignment horizontal="general" vertical="bottom"/>
    </xf>
    <xf numFmtId="175" fontId="23" fillId="0" borderId="10" applyAlignment="1" pivotButton="0" quotePrefix="0" xfId="0">
      <alignment horizontal="general" vertical="bottom"/>
    </xf>
    <xf numFmtId="175" fontId="23" fillId="0" borderId="6" applyAlignment="1" pivotButton="0" quotePrefix="0" xfId="0">
      <alignment horizontal="general" vertical="bottom"/>
    </xf>
    <xf numFmtId="175" fontId="23" fillId="0" borderId="11" applyAlignment="1" pivotButton="0" quotePrefix="0" xfId="0">
      <alignment horizontal="general" vertical="bottom"/>
    </xf>
    <xf numFmtId="175" fontId="23" fillId="0" borderId="12" applyAlignment="1" pivotButton="0" quotePrefix="0" xfId="0">
      <alignment horizontal="general" vertical="bottom"/>
    </xf>
    <xf numFmtId="175" fontId="23" fillId="0" borderId="13" applyAlignment="1" pivotButton="0" quotePrefix="0" xfId="0">
      <alignment horizontal="general" vertical="bottom"/>
    </xf>
    <xf numFmtId="0" fontId="18" fillId="0" borderId="12" applyAlignment="1" pivotButton="0" quotePrefix="0" xfId="0">
      <alignment horizontal="center" vertical="bottom"/>
    </xf>
    <xf numFmtId="0" fontId="27" fillId="0" borderId="0" applyAlignment="1" pivotButton="0" quotePrefix="0" xfId="0">
      <alignment horizontal="general" vertical="bottom"/>
    </xf>
    <xf numFmtId="176" fontId="31" fillId="0" borderId="0" applyAlignment="1" pivotButton="0" quotePrefix="0" xfId="0">
      <alignment horizontal="general" vertical="bottom"/>
    </xf>
    <xf numFmtId="0" fontId="17" fillId="3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center" vertical="bottom"/>
    </xf>
    <xf numFmtId="173" fontId="0" fillId="0" borderId="0" applyAlignment="1" pivotButton="0" quotePrefix="0" xfId="0">
      <alignment horizontal="general" vertical="bottom"/>
    </xf>
    <xf numFmtId="10" fontId="21" fillId="0" borderId="0" applyAlignment="1" pivotButton="0" quotePrefix="0" xfId="0">
      <alignment horizontal="general" vertical="bottom"/>
    </xf>
    <xf numFmtId="166" fontId="21" fillId="0" borderId="0" applyAlignment="1" pivotButton="0" quotePrefix="0" xfId="0">
      <alignment horizontal="general" vertical="bottom"/>
    </xf>
    <xf numFmtId="165" fontId="23" fillId="0" borderId="7" applyAlignment="1" pivotButton="0" quotePrefix="0" xfId="0">
      <alignment horizontal="general" vertical="bottom"/>
    </xf>
    <xf numFmtId="165" fontId="23" fillId="0" borderId="2" applyAlignment="1" pivotButton="0" quotePrefix="0" xfId="0">
      <alignment horizontal="general" vertical="bottom"/>
    </xf>
    <xf numFmtId="165" fontId="23" fillId="0" borderId="8" applyAlignment="1" pivotButton="0" quotePrefix="0" xfId="0">
      <alignment horizontal="general" vertical="bottom"/>
    </xf>
    <xf numFmtId="165" fontId="23" fillId="0" borderId="9" applyAlignment="1" pivotButton="0" quotePrefix="0" xfId="0">
      <alignment horizontal="general" vertical="bottom"/>
    </xf>
    <xf numFmtId="165" fontId="23" fillId="0" borderId="10" applyAlignment="1" pivotButton="0" quotePrefix="0" xfId="0">
      <alignment horizontal="general" vertical="bottom"/>
    </xf>
    <xf numFmtId="165" fontId="23" fillId="0" borderId="6" applyAlignment="1" pivotButton="0" quotePrefix="0" xfId="0">
      <alignment horizontal="general" vertical="bottom"/>
    </xf>
    <xf numFmtId="165" fontId="23" fillId="0" borderId="11" applyAlignment="1" pivotButton="0" quotePrefix="0" xfId="0">
      <alignment horizontal="general" vertical="bottom"/>
    </xf>
    <xf numFmtId="165" fontId="23" fillId="0" borderId="12" applyAlignment="1" pivotButton="0" quotePrefix="0" xfId="0">
      <alignment horizontal="general" vertical="bottom"/>
    </xf>
    <xf numFmtId="165" fontId="23" fillId="0" borderId="1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36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/>
    </xf>
    <xf numFmtId="165" fontId="7" fillId="0" borderId="1" applyAlignment="1" pivotButton="0" quotePrefix="0" xfId="0">
      <alignment horizontal="general" vertical="top"/>
    </xf>
    <xf numFmtId="166" fontId="7" fillId="0" borderId="1" applyAlignment="1" pivotButton="0" quotePrefix="0" xfId="0">
      <alignment horizontal="general" vertical="top"/>
    </xf>
    <xf numFmtId="0" fontId="7" fillId="3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39" fillId="0" borderId="0" pivotButton="0" quotePrefix="0" xfId="0"/>
    <xf numFmtId="0" fontId="40" fillId="11" borderId="0" pivotButton="0" quotePrefix="0" xfId="0"/>
    <xf numFmtId="0" fontId="36" fillId="0" borderId="0" pivotButton="0" quotePrefix="0" xfId="0"/>
    <xf numFmtId="3" fontId="36" fillId="0" borderId="0" pivotButton="0" quotePrefix="0" xfId="0"/>
    <xf numFmtId="180" fontId="36" fillId="0" borderId="0" pivotButton="0" quotePrefix="0" xfId="0"/>
    <xf numFmtId="171" fontId="36" fillId="0" borderId="0" pivotButton="0" quotePrefix="0" xfId="0"/>
    <xf numFmtId="166" fontId="36" fillId="0" borderId="0" pivotButton="0" quotePrefix="0" xfId="0"/>
    <xf numFmtId="0" fontId="10" fillId="4" borderId="0" applyAlignment="1" pivotButton="0" quotePrefix="0" xfId="0">
      <alignment horizontal="center" vertical="bottom"/>
    </xf>
    <xf numFmtId="0" fontId="11" fillId="5" borderId="0" applyAlignment="1" pivotButton="0" quotePrefix="0" xfId="0">
      <alignment horizontal="center" vertical="bottom"/>
    </xf>
    <xf numFmtId="0" fontId="9" fillId="2" borderId="1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12" fillId="0" borderId="2" applyAlignment="1" pivotButton="0" quotePrefix="0" xfId="0">
      <alignment horizontal="general" vertical="bottom"/>
    </xf>
    <xf numFmtId="167" fontId="12" fillId="0" borderId="2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6" fontId="14" fillId="6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7" fontId="0" fillId="0" borderId="2" applyAlignment="1" pivotButton="0" quotePrefix="0" xfId="0">
      <alignment horizontal="general" vertical="bottom"/>
    </xf>
    <xf numFmtId="164" fontId="14" fillId="6" borderId="1" applyAlignment="1" pivotButton="0" quotePrefix="0" xfId="0">
      <alignment horizontal="general" vertical="bottom"/>
    </xf>
    <xf numFmtId="0" fontId="11" fillId="5" borderId="0" applyAlignment="1" pivotButton="0" quotePrefix="0" xfId="0">
      <alignment horizontal="left" vertical="bottom"/>
    </xf>
    <xf numFmtId="0" fontId="15" fillId="5" borderId="0" applyAlignment="1" pivotButton="0" quotePrefix="0" xfId="0">
      <alignment horizontal="center" vertical="bottom"/>
    </xf>
    <xf numFmtId="0" fontId="16" fillId="0" borderId="0" applyAlignment="1" pivotButton="0" quotePrefix="0" xfId="0">
      <alignment horizontal="left" vertical="bottom" indent="1"/>
    </xf>
    <xf numFmtId="167" fontId="16" fillId="0" borderId="0" applyAlignment="1" pivotButton="0" quotePrefix="0" xfId="0">
      <alignment horizontal="general" vertical="bottom"/>
    </xf>
    <xf numFmtId="165" fontId="14" fillId="6" borderId="1" applyAlignment="1" pivotButton="0" quotePrefix="0" xfId="0">
      <alignment horizontal="general" vertical="bottom"/>
    </xf>
    <xf numFmtId="9" fontId="16" fillId="0" borderId="0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8" fontId="14" fillId="6" borderId="1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9" fontId="0" fillId="0" borderId="2" applyAlignment="1" pivotButton="0" quotePrefix="0" xfId="0">
      <alignment horizontal="general" vertical="bottom"/>
    </xf>
    <xf numFmtId="169" fontId="16" fillId="0" borderId="0" applyAlignment="1" pivotButton="0" quotePrefix="0" xfId="0">
      <alignment horizontal="general" vertical="bottom"/>
    </xf>
    <xf numFmtId="0" fontId="12" fillId="7" borderId="2" applyAlignment="1" pivotButton="0" quotePrefix="0" xfId="0">
      <alignment horizontal="general" vertical="bottom"/>
    </xf>
    <xf numFmtId="169" fontId="12" fillId="7" borderId="2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9" fontId="14" fillId="6" borderId="0" applyAlignment="1" pivotButton="0" quotePrefix="0" xfId="0">
      <alignment horizontal="general" vertical="bottom"/>
    </xf>
    <xf numFmtId="0" fontId="17" fillId="3" borderId="0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5" borderId="0" applyAlignment="1" pivotButton="0" quotePrefix="0" xfId="0">
      <alignment horizontal="center" vertical="bottom"/>
    </xf>
    <xf numFmtId="165" fontId="14" fillId="0" borderId="0" applyAlignment="1" pivotButton="0" quotePrefix="0" xfId="0">
      <alignment horizontal="general" vertical="bottom"/>
    </xf>
    <xf numFmtId="10" fontId="14" fillId="0" borderId="0" applyAlignment="1" pivotButton="0" quotePrefix="0" xfId="0">
      <alignment horizontal="general" vertical="bottom"/>
    </xf>
    <xf numFmtId="170" fontId="14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9" fontId="14" fillId="0" borderId="0" applyAlignment="1" pivotButton="0" quotePrefix="0" xfId="0">
      <alignment horizontal="general" vertical="bottom"/>
    </xf>
    <xf numFmtId="166" fontId="14" fillId="0" borderId="0" applyAlignment="1" pivotButton="0" quotePrefix="0" xfId="0">
      <alignment horizontal="general" vertical="bottom"/>
    </xf>
    <xf numFmtId="0" fontId="18" fillId="6" borderId="3" applyAlignment="1" pivotButton="0" quotePrefix="0" xfId="0">
      <alignment horizontal="general" vertical="bottom"/>
    </xf>
    <xf numFmtId="0" fontId="18" fillId="6" borderId="4" applyAlignment="1" pivotButton="0" quotePrefix="0" xfId="0">
      <alignment horizontal="general" vertical="bottom"/>
    </xf>
    <xf numFmtId="0" fontId="18" fillId="6" borderId="5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70" fontId="18" fillId="0" borderId="0" applyAlignment="1" pivotButton="0" quotePrefix="0" xfId="0">
      <alignment horizontal="general" vertical="bottom"/>
    </xf>
    <xf numFmtId="170" fontId="23" fillId="0" borderId="0" applyAlignment="1" pivotButton="0" quotePrefix="0" xfId="0">
      <alignment horizontal="general" vertical="bottom"/>
    </xf>
    <xf numFmtId="0" fontId="24" fillId="8" borderId="2" applyAlignment="1" pivotButton="0" quotePrefix="0" xfId="0">
      <alignment horizontal="general" vertical="bottom"/>
    </xf>
    <xf numFmtId="170" fontId="24" fillId="8" borderId="6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18" fillId="0" borderId="2" applyAlignment="1" pivotButton="0" quotePrefix="0" xfId="0">
      <alignment horizontal="general" vertical="bottom"/>
    </xf>
    <xf numFmtId="170" fontId="18" fillId="0" borderId="2" applyAlignment="1" pivotButton="0" quotePrefix="0" xfId="0">
      <alignment horizontal="general" vertical="bottom"/>
    </xf>
    <xf numFmtId="0" fontId="24" fillId="0" borderId="2" applyAlignment="1" pivotButton="0" quotePrefix="0" xfId="0">
      <alignment horizontal="general" vertical="bottom"/>
    </xf>
    <xf numFmtId="170" fontId="24" fillId="0" borderId="2" applyAlignment="1" pivotButton="0" quotePrefix="0" xfId="0">
      <alignment horizontal="general" vertical="bottom"/>
    </xf>
    <xf numFmtId="0" fontId="20" fillId="5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left" vertical="bottom" indent="1"/>
    </xf>
    <xf numFmtId="9" fontId="28" fillId="0" borderId="0" applyAlignment="1" pivotButton="0" quotePrefix="0" xfId="0">
      <alignment horizontal="general" vertical="bottom"/>
    </xf>
    <xf numFmtId="170" fontId="24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bottom" indent="1"/>
    </xf>
    <xf numFmtId="170" fontId="18" fillId="9" borderId="0" applyAlignment="1" pivotButton="0" quotePrefix="0" xfId="0">
      <alignment horizontal="general" vertical="bottom"/>
    </xf>
    <xf numFmtId="9" fontId="21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171" fontId="14" fillId="0" borderId="0" applyAlignment="1" pivotButton="0" quotePrefix="0" xfId="0">
      <alignment horizontal="general" vertical="bottom"/>
    </xf>
    <xf numFmtId="171" fontId="21" fillId="0" borderId="0" applyAlignment="1" pivotButton="0" quotePrefix="0" xfId="0">
      <alignment horizontal="general" vertical="bottom"/>
    </xf>
    <xf numFmtId="165" fontId="21" fillId="0" borderId="0" applyAlignment="1" pivotButton="0" quotePrefix="0" xfId="0">
      <alignment horizontal="general" vertical="bottom"/>
    </xf>
    <xf numFmtId="170" fontId="21" fillId="0" borderId="0" applyAlignment="1" pivotButton="0" quotePrefix="0" xfId="0">
      <alignment horizontal="general" vertical="bottom"/>
    </xf>
    <xf numFmtId="165" fontId="23" fillId="0" borderId="0" applyAlignment="1" pivotButton="0" quotePrefix="0" xfId="0">
      <alignment horizontal="general" vertical="bottom"/>
    </xf>
    <xf numFmtId="166" fontId="23" fillId="0" borderId="0" applyAlignment="1" pivotButton="0" quotePrefix="0" xfId="0">
      <alignment horizontal="general" vertical="bottom"/>
    </xf>
    <xf numFmtId="170" fontId="21" fillId="0" borderId="2" applyAlignment="1" pivotButton="0" quotePrefix="0" xfId="0">
      <alignment horizontal="general" vertical="bottom"/>
    </xf>
    <xf numFmtId="170" fontId="30" fillId="0" borderId="0" applyAlignment="1" pivotButton="0" quotePrefix="0" xfId="0">
      <alignment horizontal="general" vertical="bottom"/>
    </xf>
    <xf numFmtId="172" fontId="18" fillId="0" borderId="0" applyAlignment="1" pivotButton="0" quotePrefix="0" xfId="0">
      <alignment horizontal="general" vertical="bottom"/>
    </xf>
    <xf numFmtId="165" fontId="18" fillId="0" borderId="0" applyAlignment="1" pivotButton="0" quotePrefix="0" xfId="0">
      <alignment horizontal="general" vertical="bottom"/>
    </xf>
    <xf numFmtId="166" fontId="18" fillId="0" borderId="6" applyAlignment="1" pivotButton="0" quotePrefix="0" xfId="0">
      <alignment horizontal="general" vertical="bottom"/>
    </xf>
    <xf numFmtId="173" fontId="14" fillId="0" borderId="0" applyAlignment="1" pivotButton="0" quotePrefix="0" xfId="0">
      <alignment horizontal="general" vertical="bottom"/>
    </xf>
    <xf numFmtId="173" fontId="18" fillId="0" borderId="0" applyAlignment="1" pivotButton="0" quotePrefix="0" xfId="0">
      <alignment horizontal="general" vertical="bottom"/>
    </xf>
    <xf numFmtId="166" fontId="18" fillId="0" borderId="2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174" fontId="18" fillId="0" borderId="0" applyAlignment="1" pivotButton="0" quotePrefix="0" xfId="0">
      <alignment horizontal="general" vertical="bottom"/>
    </xf>
    <xf numFmtId="165" fontId="21" fillId="0" borderId="4" applyAlignment="1" pivotButton="0" quotePrefix="0" xfId="0">
      <alignment horizontal="general" vertical="bottom"/>
    </xf>
    <xf numFmtId="166" fontId="18" fillId="0" borderId="7" applyAlignment="1" pivotButton="0" quotePrefix="0" xfId="0">
      <alignment horizontal="general" vertical="bottom"/>
    </xf>
    <xf numFmtId="166" fontId="18" fillId="0" borderId="8" applyAlignment="1" pivotButton="0" quotePrefix="0" xfId="0">
      <alignment horizontal="general" vertical="bottom"/>
    </xf>
    <xf numFmtId="166" fontId="18" fillId="0" borderId="9" applyAlignment="1" pivotButton="0" quotePrefix="0" xfId="0">
      <alignment horizontal="general" vertical="bottom"/>
    </xf>
    <xf numFmtId="166" fontId="18" fillId="0" borderId="0" applyAlignment="1" pivotButton="0" quotePrefix="0" xfId="0">
      <alignment horizontal="general" vertical="bottom"/>
    </xf>
    <xf numFmtId="166" fontId="18" fillId="0" borderId="10" applyAlignment="1" pivotButton="0" quotePrefix="0" xfId="0">
      <alignment horizontal="general" vertical="bottom"/>
    </xf>
    <xf numFmtId="166" fontId="18" fillId="0" borderId="11" applyAlignment="1" pivotButton="0" quotePrefix="0" xfId="0">
      <alignment horizontal="general" vertical="bottom"/>
    </xf>
    <xf numFmtId="166" fontId="18" fillId="0" borderId="12" applyAlignment="1" pivotButton="0" quotePrefix="0" xfId="0">
      <alignment horizontal="general" vertical="bottom"/>
    </xf>
    <xf numFmtId="166" fontId="18" fillId="0" borderId="13" applyAlignment="1" pivotButton="0" quotePrefix="0" xfId="0">
      <alignment horizontal="general" vertical="bottom"/>
    </xf>
    <xf numFmtId="165" fontId="21" fillId="0" borderId="2" applyAlignment="1" pivotButton="0" quotePrefix="0" xfId="0">
      <alignment horizontal="general" vertical="bottom"/>
    </xf>
    <xf numFmtId="175" fontId="23" fillId="0" borderId="7" applyAlignment="1" pivotButton="0" quotePrefix="0" xfId="0">
      <alignment horizontal="general" vertical="bottom"/>
    </xf>
    <xf numFmtId="175" fontId="23" fillId="0" borderId="2" applyAlignment="1" pivotButton="0" quotePrefix="0" xfId="0">
      <alignment horizontal="general" vertical="bottom"/>
    </xf>
    <xf numFmtId="175" fontId="23" fillId="0" borderId="8" applyAlignment="1" pivotButton="0" quotePrefix="0" xfId="0">
      <alignment horizontal="general" vertical="bottom"/>
    </xf>
    <xf numFmtId="175" fontId="23" fillId="0" borderId="9" applyAlignment="1" pivotButton="0" quotePrefix="0" xfId="0">
      <alignment horizontal="general" vertical="bottom"/>
    </xf>
    <xf numFmtId="175" fontId="23" fillId="0" borderId="0" applyAlignment="1" pivotButton="0" quotePrefix="0" xfId="0">
      <alignment horizontal="general" vertical="bottom"/>
    </xf>
    <xf numFmtId="175" fontId="23" fillId="0" borderId="10" applyAlignment="1" pivotButton="0" quotePrefix="0" xfId="0">
      <alignment horizontal="general" vertical="bottom"/>
    </xf>
    <xf numFmtId="175" fontId="23" fillId="0" borderId="6" applyAlignment="1" pivotButton="0" quotePrefix="0" xfId="0">
      <alignment horizontal="general" vertical="bottom"/>
    </xf>
    <xf numFmtId="175" fontId="23" fillId="0" borderId="11" applyAlignment="1" pivotButton="0" quotePrefix="0" xfId="0">
      <alignment horizontal="general" vertical="bottom"/>
    </xf>
    <xf numFmtId="175" fontId="23" fillId="0" borderId="12" applyAlignment="1" pivotButton="0" quotePrefix="0" xfId="0">
      <alignment horizontal="general" vertical="bottom"/>
    </xf>
    <xf numFmtId="175" fontId="23" fillId="0" borderId="13" applyAlignment="1" pivotButton="0" quotePrefix="0" xfId="0">
      <alignment horizontal="general" vertical="bottom"/>
    </xf>
    <xf numFmtId="0" fontId="18" fillId="0" borderId="12" applyAlignment="1" pivotButton="0" quotePrefix="0" xfId="0">
      <alignment horizontal="center" vertical="bottom"/>
    </xf>
    <xf numFmtId="0" fontId="27" fillId="0" borderId="0" applyAlignment="1" pivotButton="0" quotePrefix="0" xfId="0">
      <alignment horizontal="general" vertical="bottom"/>
    </xf>
    <xf numFmtId="176" fontId="31" fillId="0" borderId="0" applyAlignment="1" pivotButton="0" quotePrefix="0" xfId="0">
      <alignment horizontal="general" vertical="bottom"/>
    </xf>
    <xf numFmtId="0" fontId="17" fillId="3" borderId="0" applyAlignment="1" pivotButton="0" quotePrefix="0" xfId="0">
      <alignment horizontal="general" vertical="bottom"/>
    </xf>
    <xf numFmtId="0" fontId="32" fillId="0" borderId="0" pivotButton="0" quotePrefix="0" xfId="0"/>
    <xf numFmtId="0" fontId="33" fillId="10" borderId="0" applyAlignment="1" pivotButton="0" quotePrefix="0" xfId="0">
      <alignment vertical="top" wrapText="1"/>
    </xf>
    <xf numFmtId="0" fontId="0" fillId="10" borderId="0" pivotButton="0" quotePrefix="0" xfId="0"/>
    <xf numFmtId="0" fontId="34" fillId="0" borderId="0" pivotButton="0" quotePrefix="0" xfId="0"/>
    <xf numFmtId="0" fontId="35" fillId="11" borderId="0" pivotButton="0" quotePrefix="0" xfId="0"/>
    <xf numFmtId="177" fontId="36" fillId="0" borderId="0" pivotButton="0" quotePrefix="0" xfId="0"/>
    <xf numFmtId="0" fontId="34" fillId="0" borderId="0" applyAlignment="1" pivotButton="0" quotePrefix="0" xfId="0">
      <alignment/>
    </xf>
    <xf numFmtId="178" fontId="36" fillId="0" borderId="0" pivotButton="0" quotePrefix="0" xfId="0"/>
    <xf numFmtId="179" fontId="36" fillId="0" borderId="0" pivotButton="0" quotePrefix="0" xfId="0"/>
    <xf numFmtId="166" fontId="37" fillId="12" borderId="0" pivotButton="0" quotePrefix="0" xfId="0"/>
    <xf numFmtId="0" fontId="38" fillId="0" borderId="0" pivotButton="0" quotePrefix="0" xfId="0"/>
    <xf numFmtId="4" fontId="36" fillId="0" borderId="0" pivotButton="0" quotePrefix="0" xfId="0"/>
    <xf numFmtId="0" fontId="35" fillId="11" borderId="0" applyAlignment="1" pivotButton="0" quotePrefix="0" xfId="0">
      <alignment horizontal="right"/>
    </xf>
    <xf numFmtId="0" fontId="0" fillId="11" borderId="0" pivotButton="0" quotePrefix="0" xfId="0"/>
    <xf numFmtId="177" fontId="36" fillId="13" borderId="0" pivotButton="0" quotePrefix="0" xfId="0"/>
    <xf numFmtId="177" fontId="38" fillId="13" borderId="0" pivotButton="0" quotePrefix="0" xfId="0"/>
    <xf numFmtId="180" fontId="36" fillId="13" borderId="0" pivotButton="0" quotePrefix="0" xfId="0"/>
    <xf numFmtId="179" fontId="36" fillId="13" borderId="0" pivotButton="0" quotePrefix="0" xfId="0"/>
    <xf numFmtId="166" fontId="36" fillId="13" borderId="0" pivotButton="0" quotePrefix="0" xfId="0"/>
    <xf numFmtId="178" fontId="36" fillId="13" borderId="0" pivotButton="0" quotePrefix="0" xfId="0"/>
    <xf numFmtId="179" fontId="38" fillId="13" borderId="0" pivotButton="0" quotePrefix="0" xfId="0"/>
    <xf numFmtId="166" fontId="38" fillId="13" borderId="0" pivotButton="0" quotePrefix="0" xfId="0"/>
    <xf numFmtId="180" fontId="38" fillId="13" borderId="0" pivotButton="0" quotePrefix="0" xfId="0"/>
    <xf numFmtId="0" fontId="38" fillId="14" borderId="0" pivotButton="0" quotePrefix="0" xfId="0"/>
    <xf numFmtId="0" fontId="0" fillId="14" borderId="0" pivotButton="0" quotePrefix="0" xfId="0"/>
    <xf numFmtId="181" fontId="36" fillId="0" borderId="0" pivotButton="0" quotePrefix="0" xfId="0"/>
    <xf numFmtId="177" fontId="37" fillId="12" borderId="0" pivotButton="0" quotePrefix="0" xfId="0"/>
    <xf numFmtId="0" fontId="11" fillId="4" borderId="0" applyAlignment="1" pivotButton="0" quotePrefix="0" xfId="0">
      <alignment horizontal="center" vertical="bottom"/>
    </xf>
    <xf numFmtId="173" fontId="0" fillId="0" borderId="0" applyAlignment="1" pivotButton="0" quotePrefix="0" xfId="0">
      <alignment horizontal="general" vertical="bottom"/>
    </xf>
    <xf numFmtId="10" fontId="21" fillId="0" borderId="0" applyAlignment="1" pivotButton="0" quotePrefix="0" xfId="0">
      <alignment horizontal="general" vertical="bottom"/>
    </xf>
    <xf numFmtId="166" fontId="21" fillId="0" borderId="0" applyAlignment="1" pivotButton="0" quotePrefix="0" xfId="0">
      <alignment horizontal="general" vertical="bottom"/>
    </xf>
    <xf numFmtId="165" fontId="23" fillId="0" borderId="7" applyAlignment="1" pivotButton="0" quotePrefix="0" xfId="0">
      <alignment horizontal="general" vertical="bottom"/>
    </xf>
    <xf numFmtId="165" fontId="23" fillId="0" borderId="2" applyAlignment="1" pivotButton="0" quotePrefix="0" xfId="0">
      <alignment horizontal="general" vertical="bottom"/>
    </xf>
    <xf numFmtId="165" fontId="23" fillId="0" borderId="8" applyAlignment="1" pivotButton="0" quotePrefix="0" xfId="0">
      <alignment horizontal="general" vertical="bottom"/>
    </xf>
    <xf numFmtId="165" fontId="23" fillId="0" borderId="9" applyAlignment="1" pivotButton="0" quotePrefix="0" xfId="0">
      <alignment horizontal="general" vertical="bottom"/>
    </xf>
    <xf numFmtId="165" fontId="23" fillId="0" borderId="10" applyAlignment="1" pivotButton="0" quotePrefix="0" xfId="0">
      <alignment horizontal="general" vertical="bottom"/>
    </xf>
    <xf numFmtId="165" fontId="23" fillId="0" borderId="6" applyAlignment="1" pivotButton="0" quotePrefix="0" xfId="0">
      <alignment horizontal="general" vertical="bottom"/>
    </xf>
    <xf numFmtId="165" fontId="23" fillId="0" borderId="11" applyAlignment="1" pivotButton="0" quotePrefix="0" xfId="0">
      <alignment horizontal="general" vertical="bottom"/>
    </xf>
    <xf numFmtId="165" fontId="23" fillId="0" borderId="12" applyAlignment="1" pivotButton="0" quotePrefix="0" xfId="0">
      <alignment horizontal="general" vertical="bottom"/>
    </xf>
    <xf numFmtId="165" fontId="23" fillId="0" borderId="13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D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4546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twoCellAnchor editAs="oneCell">
    <from>
      <col>10</col>
      <colOff>431640</colOff>
      <row>1</row>
      <rowOff>31680</rowOff>
    </from>
    <to>
      <col>18</col>
      <colOff>20880</colOff>
      <row>28</row>
      <rowOff>57600</rowOff>
    </to>
    <pic>
      <nvPicPr>
        <cNvPr id="0" name="Picture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796800" y="212760"/>
          <a:ext cx="4481280" cy="49122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5</col>
      <colOff>552600</colOff>
      <row>35</row>
      <rowOff>80640</rowOff>
    </from>
    <to>
      <col>9</col>
      <colOff>482400</colOff>
      <row>45</row>
      <rowOff>97560</rowOff>
    </to>
    <pic>
      <nvPicPr>
        <cNvPr id="1" name="Picture 2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735360" y="6414840"/>
          <a:ext cx="2500920" cy="18266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10</col>
      <colOff>380520</colOff>
      <row>31</row>
      <rowOff>63360</rowOff>
    </from>
    <to>
      <col>18</col>
      <colOff>14400</colOff>
      <row>44</row>
      <rowOff>163800</rowOff>
    </to>
    <pic>
      <nvPicPr>
        <cNvPr id="2" name="Picture 3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745680" y="5673600"/>
          <a:ext cx="4525920" cy="24530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203040</colOff>
      <row>1</row>
      <rowOff>19080</rowOff>
    </from>
    <to>
      <col>11</col>
      <colOff>364680</colOff>
      <row>49</row>
      <rowOff>18720</rowOff>
    </to>
    <pic>
      <nvPicPr>
        <cNvPr id="3" name="Picture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3040" y="200160"/>
          <a:ext cx="6888240" cy="8686440"/>
        </a:xfrm>
        <a:prstGeom xmlns:a="http://schemas.openxmlformats.org/drawingml/2006/main" prst="rect">
          <avLst/>
        </a:prstGeom>
        <a:ln xmlns:a="http://schemas.openxmlformats.org/drawingml/2006/main" w="0">
          <a:solidFill>
            <a:srgbClr val="000000"/>
          </a:solidFill>
          <a:prstDash val="solid"/>
        </a:ln>
      </spPr>
    </pic>
    <clientData/>
  </twoCellAnchor>
  <twoCellAnchor editAs="oneCell">
    <from>
      <col>12</col>
      <colOff>303840</colOff>
      <row>2</row>
      <rowOff>76680</rowOff>
    </from>
    <to>
      <col>21</col>
      <colOff>545400</colOff>
      <row>27</row>
      <rowOff>167040</rowOff>
    </to>
    <pic>
      <nvPicPr>
        <cNvPr id="4" name="Picture 3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642080" y="438480"/>
          <a:ext cx="5744880" cy="4614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12</col>
      <colOff>584280</colOff>
      <row>0</row>
      <rowOff>141480</rowOff>
    </from>
    <to>
      <col>23</col>
      <colOff>18720</colOff>
      <row>47</row>
      <rowOff>153720</rowOff>
    </to>
    <pic>
      <nvPicPr>
        <cNvPr id="5" name="Picture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749720" y="141480"/>
          <a:ext cx="6202800" cy="7622640"/>
        </a:xfrm>
        <a:prstGeom xmlns:a="http://schemas.openxmlformats.org/drawingml/2006/main" prst="rect">
          <avLst/>
        </a:prstGeom>
        <a:ln xmlns:a="http://schemas.openxmlformats.org/drawingml/2006/main" w="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8.xml.rels><Relationships xmlns="http://schemas.openxmlformats.org/package/2006/relationships"><Relationship Type="http://schemas.openxmlformats.org/officeDocument/2006/relationships/hyperlink" Target="https://www.sunocolp.com/press-release/item/sunoco-lp-to-acquire-nustar-energy-l.p.-in-transaction-valued-at-7.3-billion-2024" TargetMode="External" Id="rId1"/><Relationship Type="http://schemas.openxmlformats.org/officeDocument/2006/relationships/hyperlink" Target="https://s24.q4cdn.com/191304019/files/doc_presentations/2024/01/Sunoco-Acquisition-of-NuStar-Investor-Presentation-01-22-24.pdf" TargetMode="External" Id="rId2"/><Relationship Type="http://schemas.openxmlformats.org/officeDocument/2006/relationships/hyperlink" Target="https://www.sec.gov/Archives/edgar/data/1110805/000119312524086017/d464008ddefm14a.htm" TargetMode="External" Id="rId3"/><Relationship Type="http://schemas.openxmlformats.org/officeDocument/2006/relationships/hyperlink" Target="https://www.prnewswire.com/news-releases/sunoco-lp-announces-fourth-quarter-and-full-year-2023-financial-and-operating-results-302061250.html" TargetMode="External" Id="rId4"/><Relationship Type="http://schemas.openxmlformats.org/officeDocument/2006/relationships/hyperlink" Target="https://www.businesswire.com/news/home/20240214468139/en/NuStar-Energy-L.P.-Reports-Solid-Fourth-Quarter-and-Full-Year-2023-Earnings-Results" TargetMode="External" Id="rId5"/><Relationship Type="http://schemas.openxmlformats.org/officeDocument/2006/relationships/hyperlink" Target="https://www.sec.gov/Archives/edgar/data/1110805/000111080524000007/ns-20231231.htm" TargetMode="External" Id="rId6"/><Relationship Type="http://schemas.openxmlformats.org/officeDocument/2006/relationships/hyperlink" Target="https://www.prnewswire.com/news-releases/sunoco-lp-announces-pricing-of-private-offering-of-senior-notes-302118723.html" TargetMode="External" Id="rId7"/><Relationship Type="http://schemas.openxmlformats.org/officeDocument/2006/relationships/hyperlink" Target="https://www.prnewswire.com/news-releases/sunoco-lp-completes-acquisition-of-nustar-energy-lp-announces-a-4-increase-in-quarterly-distribution-302135594.html" TargetMode="External" Id="rId8"/><Relationship Type="http://schemas.openxmlformats.org/officeDocument/2006/relationships/hyperlink" Target="https://www.prnewswire.com/news-releases/sunoco-lp-announces-purchase-of-nustar-preferred-units-and-full-redemption-of-nustar-logistics-subordinated-notes-302135935.html" TargetMode="External" Id="rId9"/><Relationship Type="http://schemas.openxmlformats.org/officeDocument/2006/relationships/hyperlink" Target="https://www.sec.gov/Archives/edgar/data/1552275/000155227524000086/sun-20240930.htm" TargetMode="External" Id="rId10"/><Relationship Type="http://schemas.openxmlformats.org/officeDocument/2006/relationships/hyperlink" Target="https://www.sunocolp.com/press-release/item/sunoco-lp-reports-fourth-quarter-and-record-full-year-2024-financial-and-operating-results-2025" TargetMode="External" Id="rId11"/></Relationships>
</file>

<file path=xl/worksheets/_rels/sheet19.xml.rels><Relationships xmlns="http://schemas.openxmlformats.org/package/2006/relationships"><Relationship Type="http://schemas.openxmlformats.org/officeDocument/2006/relationships/hyperlink" Target="https://www.sunocolp.com/press-release/item/sunoco-lp-to-acquire-parkland-corporation-in-transaction-valued-at-9-1-billion-2025" TargetMode="External" Id="rId1"/><Relationship Type="http://schemas.openxmlformats.org/officeDocument/2006/relationships/hyperlink" Target="https://assets.ctfassets.net/tatgxebmkmwo/57W38z9yHvAOdECxPg8ft0/92f93573236692778ecd57be0ea3d35b/Parkland_Acquisition_Presentation_FINAL_ADA.pdf" TargetMode="External" Id="rId2"/><Relationship Type="http://schemas.openxmlformats.org/officeDocument/2006/relationships/hyperlink" Target="https://www.sec.gov/Archives/edgar/data/1552275/000119312525113456/d831300d425.htm" TargetMode="External" Id="rId3"/><Relationship Type="http://schemas.openxmlformats.org/officeDocument/2006/relationships/hyperlink" Target="https://www.newswire.ca/news-releases/parkland-reports-2025-second-quarter-results-849756245.html" TargetMode="External" Id="rId4"/><Relationship Type="http://schemas.openxmlformats.org/officeDocument/2006/relationships/hyperlink" Target="https://www.prnewswire.com/news-releases/parkland-reports-fourth-quarter-and-year-end-2024-results-initiates-review-of-strategic-alternatives-302393768.html" TargetMode="External" Id="rId5"/><Relationship Type="http://schemas.openxmlformats.org/officeDocument/2006/relationships/hyperlink" Target="https://assets.ctfassets.net/tatgxebmkmwo/ddeRzLN6OsU4YkPplZivb/168544db9ee755da99bc7543f2f712b7/FS_Q4_2024.pdf" TargetMode="External" Id="rId6"/><Relationship Type="http://schemas.openxmlformats.org/officeDocument/2006/relationships/hyperlink" Target="https://assets.ctfassets.net/tatgxebmkmwo/6593EXMy1JOssY1GwVHKqv/9a17cc7f6e822992764667af88de4da8/2025_Information_Circular_dated_May_26__2025_-_Special_and_Annual_Meeting.pdf" TargetMode="External" Id="rId7"/><Relationship Type="http://schemas.openxmlformats.org/officeDocument/2006/relationships/hyperlink" Target="https://www.sunocolp.com/press-release/item/sunoco-lp-reports-second-quarter-2025-financial-and-operating-results-2025" TargetMode="External" Id="rId8"/><Relationship Type="http://schemas.openxmlformats.org/officeDocument/2006/relationships/hyperlink" Target="https://www.sunocolp.com/press-release/item/sunoco-lp-announces-pricing-of-upsized-private-offering-of-senior-notes-6fc36d3f3-2025" TargetMode="External" Id="rId9"/><Relationship Type="http://schemas.openxmlformats.org/officeDocument/2006/relationships/hyperlink" Target="https://www.sunocolp.com/press-release/item/sunoco-lp-announces-pricing-of-upsized-preferred-equity-offering-2025" TargetMode="External" Id="rId10"/><Relationship Type="http://schemas.openxmlformats.org/officeDocument/2006/relationships/hyperlink" Target="https://www.prnewswire.com/news-releases/parkland-corporation-announces-completion-of-acquisition-by-sunoco-lp-302602282.html" TargetMode="External" Id="rId11"/><Relationship Type="http://schemas.openxmlformats.org/officeDocument/2006/relationships/hyperlink" Target="https://www.sec.gov/Archives/edgar/data/1552275/000155227526000008/ex992-sunocoxparklandprofo.htm" TargetMode="External" Id="rId12"/><Relationship Type="http://schemas.openxmlformats.org/officeDocument/2006/relationships/hyperlink" Target="https://www.sec.gov/Archives/edgar/data/1552275/000155227526000021/sun-20251231.htm" TargetMode="External" Id="rId13"/><Relationship Type="http://schemas.openxmlformats.org/officeDocument/2006/relationships/hyperlink" Target="https://www.sunocolp.com/press-release/item/sunoco-lp-announces-2026-guidance-9e963a1fd-2026" TargetMode="External" Id="rId14"/><Relationship Type="http://schemas.openxmlformats.org/officeDocument/2006/relationships/hyperlink" Target="https://www.bankofcanada.ca/valet/observations/FXUSDCAD/json?start_date=2025-04-28&amp;end_date=2025-05-05" TargetMode="External" Id="rId15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47" min="2" max="2"/>
  </cols>
  <sheetData>
    <row r="2" ht="19.7" customHeight="1" s="148">
      <c r="B2" s="149" t="inlineStr">
        <is>
          <t>Transaction Experience — LBO returns models</t>
        </is>
      </c>
    </row>
    <row r="3" ht="30" customHeight="1" s="148">
      <c r="B3" s="150" t="inlineStr">
        <is>
          <t>Built on the Leland LBO Modeling template (September 2026). The original template sheets are preserved unchanged at the end of the workbook.</t>
        </is>
      </c>
    </row>
    <row r="4" ht="15" customHeight="1" s="148">
      <c r="B4" s="151" t="n"/>
    </row>
    <row r="5" ht="15" customHeight="1" s="148">
      <c r="B5" s="152" t="inlineStr">
        <is>
          <t>WHAT IS HERE</t>
        </is>
      </c>
    </row>
    <row r="6" ht="30" customHeight="1" s="148">
      <c r="B6" s="151" t="inlineStr">
        <is>
          <t>Summary — one row per deal with entry structure, underwritten returns (template run on the entry facts) and actual returns where an exit is disclosed.</t>
        </is>
      </c>
    </row>
    <row r="7" ht="45" customHeight="1" s="148">
      <c r="B7" s="151" t="inlineStr">
        <is>
          <t>P01–P11 — Paper LBO tabs, one per deal, in the template's own layout. Cells B2:J49 are the template; the INPUTS block at L4:P20 drives them and carries a source and a tag for every number. Rows 52–77 hold the actual outcome and notes.</t>
        </is>
      </c>
    </row>
    <row r="8" ht="30" customHeight="1" s="148">
      <c r="B8" s="151" t="inlineStr">
        <is>
          <t>F01–F04 — Full LBO Model Solution tabs for the four deals with enough filed data: KKR/Varsity 2024, Bain/Varsity 2018, Cerberus/Chrysler 2007, Caterpillar/Bucyrus 2011.</t>
        </is>
      </c>
    </row>
    <row r="9" ht="44" customHeight="1" s="148">
      <c r="B9" s="153" t="inlineStr">
        <is>
          <t>M01–M02 — Sunoco LP acquisition models (NuStar 2024, Parkland 2025): accretion/dilution to distributable cash flow per unit and pro forma net debt / EBITDA, year 1 to year 3. These are strategic MLP acquisitions, not LBOs, and are built as the acquirer's board would have looked at them. Inputs are tagged like the other tabs.</t>
        </is>
      </c>
    </row>
    <row r="10" ht="15" customHeight="1" s="148">
      <c r="B10" s="152" t="inlineStr">
        <is>
          <t>HOW TO READ THE TAGS</t>
        </is>
      </c>
    </row>
    <row r="11" ht="45" customHeight="1" s="148">
      <c r="B11" s="151" t="inlineStr">
        <is>
          <t>F = filed or rating-agency figure (SEC filing, court record, Moody's/S&amp;P release, company release).   P = press-reported (Reuters, LCD, Bloomberg, trade press).   A = assumption, shown in blue on a yellow fill. Change any blue cell and the tab recalculates.</t>
        </is>
      </c>
    </row>
    <row r="12" ht="15" customHeight="1" s="148">
      <c r="B12" s="151" t="n"/>
    </row>
    <row r="13" ht="15" customHeight="1" s="148">
      <c r="B13" s="152" t="inlineStr">
        <is>
          <t>TWO DEALS ARE NOT LBOs</t>
        </is>
      </c>
    </row>
    <row r="14" ht="60" customHeight="1" s="148">
      <c r="B14" s="151" t="inlineStr">
        <is>
          <t>P07 Caterpillar/Bucyrus and P08 NRG/Direct Energy were strategic acquisitions financed with corporate notes. They are included, with a red banner, because the template mechanics still answer the question "what did the price require", and because both are among the best-documented transactions in the book. Their "equity" is the acquirer's cash, not sponsor equity, and there was no exit.</t>
        </is>
      </c>
    </row>
    <row r="15" ht="15" customHeight="1" s="148">
      <c r="B15" s="151" t="n"/>
    </row>
    <row r="16" ht="15" customHeight="1" s="148">
      <c r="B16" s="152" t="inlineStr">
        <is>
          <t>ONE DEAL NEVER HAPPENED</t>
        </is>
      </c>
    </row>
    <row r="17" ht="45" customHeight="1" s="148">
      <c r="B17" s="151" t="inlineStr">
        <is>
          <t>P11 Cerberus + Koch / Dorel was terminated on 15 February 2021 the day before the vote. The tab models the deal as structured in the 1 February 2021 release and, in the actual-outcome block, shows the counterfactual: Dorel sold the Sports segment alone for $810m eleven months later.</t>
        </is>
      </c>
    </row>
    <row r="18" ht="15" customHeight="1" s="148">
      <c r="B18" s="151" t="n"/>
    </row>
    <row r="19" ht="15" customHeight="1" s="148">
      <c r="B19" s="152" t="inlineStr">
        <is>
          <t>TEMPLATE MECHANICS TO KEEP IN MIND</t>
        </is>
      </c>
    </row>
    <row r="20" ht="60" customHeight="1" s="148">
      <c r="B20" s="151" t="inlineStr">
        <is>
          <t>The Paper LBO charges interest on opening debt for all five years and accumulates every dollar of levered free cash flow as cash, so it overstates returns slightly versus a model with a debt sweep. The template prices deals on forward EBITDA (cell E10 = F18); the deal tabs point it at LTM EBITDA (E18) because that is how every filed multiple here is quoted.</t>
        </is>
      </c>
    </row>
    <row r="21" ht="45" customHeight="1" s="148">
      <c r="B21" s="151" t="inlineStr">
        <is>
          <t>The full-model tabs use the template's circularity switch (cell I8 = 1). If Excel warns about a circular reference, enable iterative calculation under File &gt; Options &gt; Formulas. The sensitivity grids are Excel data tables and recompute on open in Excel.</t>
        </is>
      </c>
    </row>
    <row r="22" ht="15" customHeight="1" s="148">
      <c r="B22" s="151" t="n"/>
    </row>
    <row r="23" ht="15" customHeight="1" s="148">
      <c r="B23" s="152" t="inlineStr">
        <is>
          <t>WHAT COULD NOT BE MODELLED HONESTLY</t>
        </is>
      </c>
    </row>
    <row r="24" ht="45" customHeight="1" s="148">
      <c r="B24" s="151" t="inlineStr">
        <is>
          <t>One Equity Partners / Progress Rail, Berkshire Partners / EMD, 3i / MWM and Court Square / Offen Petroleum: the sponsor's entry price was never disclosed, so there is no entry structure to model. Their exit prices are in the deal book.</t>
        </is>
      </c>
    </row>
    <row r="25" ht="15" customHeight="1" s="148">
      <c r="B25" s="151" t="n"/>
    </row>
    <row r="26" ht="15" customHeight="1" s="148">
      <c r="B26" s="150" t="inlineStr">
        <is>
          <t>Compiled 6 September 2026 from the sources listed on each tab. Not investment advice.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Q28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147" min="2" max="2"/>
    <col width="44" customWidth="1" style="147" min="3" max="3"/>
    <col width="34" customWidth="1" style="147" min="4" max="4"/>
    <col width="30" customWidth="1" style="147" min="5" max="5"/>
    <col width="11" customWidth="1" style="147" min="6" max="7"/>
    <col width="8" customWidth="1" style="147" min="8" max="8"/>
    <col width="10" customWidth="1" style="147" min="9" max="9"/>
    <col width="9" customWidth="1" style="147" min="10" max="10"/>
    <col width="10" customWidth="1" style="147" min="11" max="11"/>
    <col width="8" customWidth="1" style="147" min="12" max="12"/>
    <col width="10" customWidth="1" style="147" min="13" max="14"/>
    <col width="11" customWidth="1" style="147" min="15" max="16"/>
    <col width="30" customWidth="1" style="147" min="17" max="17"/>
  </cols>
  <sheetData>
    <row r="2" ht="19.7" customHeight="1" s="148">
      <c r="B2" s="154" t="inlineStr">
        <is>
          <t>Transaction Experience — LBO returns models</t>
        </is>
      </c>
    </row>
    <row r="3" ht="15" customHeight="1" s="148">
      <c r="B3" s="155" t="inlineStr">
        <is>
          <t>Underwritten case = the template run on the entry structure and stated assumptions. Actual = the realised exit where one exists. All figures US$ millions. Blue cells on the deal tabs are assumptions.</t>
        </is>
      </c>
    </row>
    <row r="5" ht="26.85" customHeight="1" s="148">
      <c r="B5" s="156" t="inlineStr">
        <is>
          <t>#</t>
        </is>
      </c>
      <c r="C5" s="156" t="inlineStr">
        <is>
          <t>Deal</t>
        </is>
      </c>
      <c r="D5" s="156" t="inlineStr">
        <is>
          <t>Classification</t>
        </is>
      </c>
      <c r="E5" s="156" t="inlineStr">
        <is>
          <t>Status</t>
        </is>
      </c>
      <c r="F5" s="156" t="inlineStr">
        <is>
          <t>Entry EV</t>
        </is>
      </c>
      <c r="G5" s="156" t="inlineStr">
        <is>
          <t>Entry EBITDA</t>
        </is>
      </c>
      <c r="H5" s="156" t="inlineStr">
        <is>
          <t>Entry x</t>
        </is>
      </c>
      <c r="I5" s="156" t="inlineStr">
        <is>
          <t>Debt</t>
        </is>
      </c>
      <c r="J5" s="156" t="inlineStr">
        <is>
          <t>Leverage x</t>
        </is>
      </c>
      <c r="K5" s="156" t="inlineStr">
        <is>
          <t>Equity</t>
        </is>
      </c>
      <c r="L5" s="156" t="inlineStr">
        <is>
          <t>Exit x</t>
        </is>
      </c>
      <c r="M5" s="156" t="inlineStr">
        <is>
          <t>MoM (uw)</t>
        </is>
      </c>
      <c r="N5" s="156" t="inlineStr">
        <is>
          <t>IRR (uw)</t>
        </is>
      </c>
      <c r="O5" s="156" t="inlineStr">
        <is>
          <t>MoM (actual)</t>
        </is>
      </c>
      <c r="P5" s="156" t="inlineStr">
        <is>
          <t>IRR (actual)</t>
        </is>
      </c>
      <c r="Q5" s="156" t="inlineStr">
        <is>
          <t>Full model tab</t>
        </is>
      </c>
    </row>
    <row r="6" ht="30" customHeight="1" s="148">
      <c r="B6" s="157" t="n">
        <v>1</v>
      </c>
      <c r="C6" s="158" t="inlineStr">
        <is>
          <t>KKR / Varsity Brands (2024)</t>
        </is>
      </c>
      <c r="D6" s="158" t="inlineStr">
        <is>
          <t>Sponsor buyout</t>
        </is>
      </c>
      <c r="E6" s="158" t="inlineStr">
        <is>
          <t>Pending (hold)</t>
        </is>
      </c>
      <c r="F6" s="159">
        <f>'P01 KKR-Varsity 2024'!N5</f>
        <v/>
      </c>
      <c r="G6" s="159">
        <f>'P01 KKR-Varsity 2024'!N6</f>
        <v/>
      </c>
      <c r="H6" s="160">
        <f>'P01 KKR-Varsity 2024'!N7</f>
        <v/>
      </c>
      <c r="I6" s="159">
        <f>'P01 KKR-Varsity 2024'!N8</f>
        <v/>
      </c>
      <c r="J6" s="160">
        <f>'P01 KKR-Varsity 2024'!N9</f>
        <v/>
      </c>
      <c r="K6" s="159">
        <f>'P01 KKR-Varsity 2024'!E6</f>
        <v/>
      </c>
      <c r="L6" s="160">
        <f>'P01 KKR-Varsity 2024'!N18</f>
        <v/>
      </c>
      <c r="M6" s="160">
        <f>'P01 KKR-Varsity 2024'!E45</f>
        <v/>
      </c>
      <c r="N6" s="161">
        <f>'P01 KKR-Varsity 2024'!E46</f>
        <v/>
      </c>
      <c r="O6" s="160" t="inlineStr">
        <is>
          <t>n/a</t>
        </is>
      </c>
      <c r="P6" s="161" t="inlineStr">
        <is>
          <t>n/a</t>
        </is>
      </c>
      <c r="Q6" s="157" t="inlineStr">
        <is>
          <t>F01 KKR-Varsity 2024</t>
        </is>
      </c>
    </row>
    <row r="7" ht="30" customHeight="1" s="148">
      <c r="B7" s="157" t="n">
        <v>2</v>
      </c>
      <c r="C7" s="158" t="inlineStr">
        <is>
          <t>Bain Capital / Varsity Brands (2018-24)</t>
        </is>
      </c>
      <c r="D7" s="158" t="inlineStr">
        <is>
          <t>Secondary buyout</t>
        </is>
      </c>
      <c r="E7" s="158" t="inlineStr">
        <is>
          <t>Realised Aug-2024</t>
        </is>
      </c>
      <c r="F7" s="159">
        <f>'P02 Bain-Varsity 2018'!N5</f>
        <v/>
      </c>
      <c r="G7" s="159">
        <f>'P02 Bain-Varsity 2018'!N6</f>
        <v/>
      </c>
      <c r="H7" s="160">
        <f>'P02 Bain-Varsity 2018'!N7</f>
        <v/>
      </c>
      <c r="I7" s="159">
        <f>'P02 Bain-Varsity 2018'!N8</f>
        <v/>
      </c>
      <c r="J7" s="160">
        <f>'P02 Bain-Varsity 2018'!N9</f>
        <v/>
      </c>
      <c r="K7" s="159">
        <f>'P02 Bain-Varsity 2018'!E6</f>
        <v/>
      </c>
      <c r="L7" s="160">
        <f>'P02 Bain-Varsity 2018'!N18</f>
        <v/>
      </c>
      <c r="M7" s="160">
        <f>'P02 Bain-Varsity 2018'!E45</f>
        <v/>
      </c>
      <c r="N7" s="161">
        <f>'P02 Bain-Varsity 2018'!E46</f>
        <v/>
      </c>
      <c r="O7" s="160">
        <f>'P02 Bain-Varsity 2018'!E57</f>
        <v/>
      </c>
      <c r="P7" s="161">
        <f>'P02 Bain-Varsity 2018'!E58</f>
        <v/>
      </c>
      <c r="Q7" s="157" t="inlineStr">
        <is>
          <t>F02 Bain-Varsity 2018</t>
        </is>
      </c>
    </row>
    <row r="8" ht="30" customHeight="1" s="148">
      <c r="B8" s="157" t="n">
        <v>3</v>
      </c>
      <c r="C8" s="158" t="inlineStr">
        <is>
          <t>Charlesbank + Partners Group / Varsity Brands (2014-18)</t>
        </is>
      </c>
      <c r="D8" s="158" t="inlineStr">
        <is>
          <t>ESOP buyout</t>
        </is>
      </c>
      <c r="E8" s="158" t="inlineStr">
        <is>
          <t>Realised Jul-2018</t>
        </is>
      </c>
      <c r="F8" s="159">
        <f>'P03 Charlesbank-Varsity 2014'!N5</f>
        <v/>
      </c>
      <c r="G8" s="159">
        <f>'P03 Charlesbank-Varsity 2014'!N6</f>
        <v/>
      </c>
      <c r="H8" s="160">
        <f>'P03 Charlesbank-Varsity 2014'!N7</f>
        <v/>
      </c>
      <c r="I8" s="159">
        <f>'P03 Charlesbank-Varsity 2014'!N8</f>
        <v/>
      </c>
      <c r="J8" s="160">
        <f>'P03 Charlesbank-Varsity 2014'!N9</f>
        <v/>
      </c>
      <c r="K8" s="159">
        <f>'P03 Charlesbank-Varsity 2014'!E6</f>
        <v/>
      </c>
      <c r="L8" s="160">
        <f>'P03 Charlesbank-Varsity 2014'!N18</f>
        <v/>
      </c>
      <c r="M8" s="160">
        <f>'P03 Charlesbank-Varsity 2014'!E45</f>
        <v/>
      </c>
      <c r="N8" s="161">
        <f>'P03 Charlesbank-Varsity 2014'!E46</f>
        <v/>
      </c>
      <c r="O8" s="160">
        <f>'P03 Charlesbank-Varsity 2014'!E57</f>
        <v/>
      </c>
      <c r="P8" s="161">
        <f>'P03 Charlesbank-Varsity 2014'!E58</f>
        <v/>
      </c>
      <c r="Q8" s="157" t="n"/>
    </row>
    <row r="9" ht="30" customHeight="1" s="148">
      <c r="B9" s="157" t="n">
        <v>4</v>
      </c>
      <c r="C9" s="158" t="inlineStr">
        <is>
          <t>Leonard Green / Varsity Brands (2003-11)</t>
        </is>
      </c>
      <c r="D9" s="158" t="inlineStr">
        <is>
          <t>Take-private (13E-3)</t>
        </is>
      </c>
      <c r="E9" s="158" t="inlineStr">
        <is>
          <t>Realised Aug-2011 (price undisclosed)</t>
        </is>
      </c>
      <c r="F9" s="159">
        <f>'P04 LGP-Varsity 2003'!N5</f>
        <v/>
      </c>
      <c r="G9" s="159">
        <f>'P04 LGP-Varsity 2003'!N6</f>
        <v/>
      </c>
      <c r="H9" s="160">
        <f>'P04 LGP-Varsity 2003'!N7</f>
        <v/>
      </c>
      <c r="I9" s="159">
        <f>'P04 LGP-Varsity 2003'!N8</f>
        <v/>
      </c>
      <c r="J9" s="160">
        <f>'P04 LGP-Varsity 2003'!N9</f>
        <v/>
      </c>
      <c r="K9" s="159">
        <f>'P04 LGP-Varsity 2003'!E6</f>
        <v/>
      </c>
      <c r="L9" s="160">
        <f>'P04 LGP-Varsity 2003'!N18</f>
        <v/>
      </c>
      <c r="M9" s="160">
        <f>'P04 LGP-Varsity 2003'!E45</f>
        <v/>
      </c>
      <c r="N9" s="161">
        <f>'P04 LGP-Varsity 2003'!E46</f>
        <v/>
      </c>
      <c r="O9" s="160" t="inlineStr">
        <is>
          <t>n/a</t>
        </is>
      </c>
      <c r="P9" s="161" t="inlineStr">
        <is>
          <t>n/a</t>
        </is>
      </c>
      <c r="Q9" s="157" t="n"/>
    </row>
    <row r="10" ht="30" customHeight="1" s="148">
      <c r="B10" s="157" t="n">
        <v>5</v>
      </c>
      <c r="C10" s="158" t="inlineStr">
        <is>
          <t>ONCAP / Sport Supply Group (2010-13)</t>
        </is>
      </c>
      <c r="D10" s="158" t="inlineStr">
        <is>
          <t>Take-private with rollover</t>
        </is>
      </c>
      <c r="E10" s="158" t="inlineStr">
        <is>
          <t>Realised Jun-2013 (price undisclosed)</t>
        </is>
      </c>
      <c r="F10" s="159">
        <f>'P05 ONCAP-SportSupply 2010'!N5</f>
        <v/>
      </c>
      <c r="G10" s="159">
        <f>'P05 ONCAP-SportSupply 2010'!N6</f>
        <v/>
      </c>
      <c r="H10" s="160">
        <f>'P05 ONCAP-SportSupply 2010'!N7</f>
        <v/>
      </c>
      <c r="I10" s="159">
        <f>'P05 ONCAP-SportSupply 2010'!N8</f>
        <v/>
      </c>
      <c r="J10" s="160">
        <f>'P05 ONCAP-SportSupply 2010'!N9</f>
        <v/>
      </c>
      <c r="K10" s="159">
        <f>'P05 ONCAP-SportSupply 2010'!E6</f>
        <v/>
      </c>
      <c r="L10" s="160">
        <f>'P05 ONCAP-SportSupply 2010'!N18</f>
        <v/>
      </c>
      <c r="M10" s="160">
        <f>'P05 ONCAP-SportSupply 2010'!E45</f>
        <v/>
      </c>
      <c r="N10" s="161">
        <f>'P05 ONCAP-SportSupply 2010'!E46</f>
        <v/>
      </c>
      <c r="O10" s="160" t="inlineStr">
        <is>
          <t>n/a</t>
        </is>
      </c>
      <c r="P10" s="161" t="inlineStr">
        <is>
          <t>n/a</t>
        </is>
      </c>
      <c r="Q10" s="157" t="n"/>
    </row>
    <row r="11" ht="30" customHeight="1" s="148">
      <c r="B11" s="157" t="n">
        <v>6</v>
      </c>
      <c r="C11" s="158" t="inlineStr">
        <is>
          <t>Cerberus / Chrysler (2007-09)</t>
        </is>
      </c>
      <c r="D11" s="158" t="inlineStr">
        <is>
          <t>Private equity carve-out</t>
        </is>
      </c>
      <c r="E11" s="158" t="inlineStr">
        <is>
          <t>Realised 2009: equity written to zero</t>
        </is>
      </c>
      <c r="F11" s="159">
        <f>'P06 Cerberus-Chrysler 2007'!N5</f>
        <v/>
      </c>
      <c r="G11" s="159">
        <f>'P06 Cerberus-Chrysler 2007'!N6</f>
        <v/>
      </c>
      <c r="H11" s="160">
        <f>'P06 Cerberus-Chrysler 2007'!N7</f>
        <v/>
      </c>
      <c r="I11" s="159">
        <f>'P06 Cerberus-Chrysler 2007'!N8</f>
        <v/>
      </c>
      <c r="J11" s="160">
        <f>'P06 Cerberus-Chrysler 2007'!N9</f>
        <v/>
      </c>
      <c r="K11" s="159">
        <f>'P06 Cerberus-Chrysler 2007'!E6</f>
        <v/>
      </c>
      <c r="L11" s="160">
        <f>'P06 Cerberus-Chrysler 2007'!N18</f>
        <v/>
      </c>
      <c r="M11" s="160">
        <f>'P06 Cerberus-Chrysler 2007'!E45</f>
        <v/>
      </c>
      <c r="N11" s="161">
        <f>'P06 Cerberus-Chrysler 2007'!E46</f>
        <v/>
      </c>
      <c r="O11" s="160">
        <f>'P06 Cerberus-Chrysler 2007'!E57</f>
        <v/>
      </c>
      <c r="P11" s="161">
        <f>'P06 Cerberus-Chrysler 2007'!E58</f>
        <v/>
      </c>
      <c r="Q11" s="157" t="inlineStr">
        <is>
          <t>F03 Cerberus-Chrysler 2007</t>
        </is>
      </c>
    </row>
    <row r="12" ht="30" customHeight="1" s="148">
      <c r="B12" s="157" t="n">
        <v>7</v>
      </c>
      <c r="C12" s="162" t="inlineStr">
        <is>
          <t>Caterpillar / Bucyrus (2011) [STRATEGIC]</t>
        </is>
      </c>
      <c r="D12" s="162" t="inlineStr">
        <is>
          <t>STRATEGIC public M&amp;A, debt-financed (not an LBO)</t>
        </is>
      </c>
      <c r="E12" s="158" t="inlineStr">
        <is>
          <t>Held; $595m goodwill impairment Q4-2016</t>
        </is>
      </c>
      <c r="F12" s="159">
        <f>'P07 Caterpillar-Bucyrus 2011'!N5</f>
        <v/>
      </c>
      <c r="G12" s="159">
        <f>'P07 Caterpillar-Bucyrus 2011'!N6</f>
        <v/>
      </c>
      <c r="H12" s="160">
        <f>'P07 Caterpillar-Bucyrus 2011'!N7</f>
        <v/>
      </c>
      <c r="I12" s="159">
        <f>'P07 Caterpillar-Bucyrus 2011'!N8</f>
        <v/>
      </c>
      <c r="J12" s="160">
        <f>'P07 Caterpillar-Bucyrus 2011'!N9</f>
        <v/>
      </c>
      <c r="K12" s="159">
        <f>'P07 Caterpillar-Bucyrus 2011'!E6</f>
        <v/>
      </c>
      <c r="L12" s="160">
        <f>'P07 Caterpillar-Bucyrus 2011'!N18</f>
        <v/>
      </c>
      <c r="M12" s="160">
        <f>'P07 Caterpillar-Bucyrus 2011'!E45</f>
        <v/>
      </c>
      <c r="N12" s="161">
        <f>'P07 Caterpillar-Bucyrus 2011'!E46</f>
        <v/>
      </c>
      <c r="O12" s="160" t="inlineStr">
        <is>
          <t>n/a</t>
        </is>
      </c>
      <c r="P12" s="161" t="inlineStr">
        <is>
          <t>n/a</t>
        </is>
      </c>
      <c r="Q12" s="157" t="inlineStr">
        <is>
          <t>F04 CAT-Bucyrus 2011 STRAT</t>
        </is>
      </c>
    </row>
    <row r="13" ht="30" customHeight="1" s="148">
      <c r="B13" s="157" t="n">
        <v>8</v>
      </c>
      <c r="C13" s="162" t="inlineStr">
        <is>
          <t>NRG / Direct Energy (2021) [STRATEGIC]</t>
        </is>
      </c>
      <c r="D13" s="162" t="inlineStr">
        <is>
          <t>STRATEGIC corporate carve-out, note-financed (not an LBO)</t>
        </is>
      </c>
      <c r="E13" s="158" t="inlineStr">
        <is>
          <t>Held; $300m synergy programme completed 2023</t>
        </is>
      </c>
      <c r="F13" s="159">
        <f>'P08 NRG-DirectEnergy 2021'!N5</f>
        <v/>
      </c>
      <c r="G13" s="159">
        <f>'P08 NRG-DirectEnergy 2021'!N6</f>
        <v/>
      </c>
      <c r="H13" s="160">
        <f>'P08 NRG-DirectEnergy 2021'!N7</f>
        <v/>
      </c>
      <c r="I13" s="159">
        <f>'P08 NRG-DirectEnergy 2021'!N8</f>
        <v/>
      </c>
      <c r="J13" s="160">
        <f>'P08 NRG-DirectEnergy 2021'!N9</f>
        <v/>
      </c>
      <c r="K13" s="159">
        <f>'P08 NRG-DirectEnergy 2021'!E6</f>
        <v/>
      </c>
      <c r="L13" s="160">
        <f>'P08 NRG-DirectEnergy 2021'!N18</f>
        <v/>
      </c>
      <c r="M13" s="160">
        <f>'P08 NRG-DirectEnergy 2021'!E45</f>
        <v/>
      </c>
      <c r="N13" s="161">
        <f>'P08 NRG-DirectEnergy 2021'!E46</f>
        <v/>
      </c>
      <c r="O13" s="160" t="inlineStr">
        <is>
          <t>n/a</t>
        </is>
      </c>
      <c r="P13" s="161" t="inlineStr">
        <is>
          <t>n/a</t>
        </is>
      </c>
      <c r="Q13" s="157" t="n"/>
    </row>
    <row r="14" ht="30" customHeight="1" s="148">
      <c r="B14" s="157" t="n">
        <v>9</v>
      </c>
      <c r="C14" s="158" t="inlineStr">
        <is>
          <t>Wind Point / Pacific Cycle (2000-04)</t>
        </is>
      </c>
      <c r="D14" s="158" t="inlineStr">
        <is>
          <t>Sponsor platform build and exit</t>
        </is>
      </c>
      <c r="E14" s="158" t="inlineStr">
        <is>
          <t>Realised Feb-2004</t>
        </is>
      </c>
      <c r="F14" s="159">
        <f>'P09 WindPoint-Pacific 2001'!N5</f>
        <v/>
      </c>
      <c r="G14" s="159">
        <f>'P09 WindPoint-Pacific 2001'!N6</f>
        <v/>
      </c>
      <c r="H14" s="160">
        <f>'P09 WindPoint-Pacific 2001'!N7</f>
        <v/>
      </c>
      <c r="I14" s="159">
        <f>'P09 WindPoint-Pacific 2001'!N8</f>
        <v/>
      </c>
      <c r="J14" s="160">
        <f>'P09 WindPoint-Pacific 2001'!N9</f>
        <v/>
      </c>
      <c r="K14" s="159">
        <f>'P09 WindPoint-Pacific 2001'!E6</f>
        <v/>
      </c>
      <c r="L14" s="160">
        <f>'P09 WindPoint-Pacific 2001'!N18</f>
        <v/>
      </c>
      <c r="M14" s="160">
        <f>'P09 WindPoint-Pacific 2001'!E45</f>
        <v/>
      </c>
      <c r="N14" s="161">
        <f>'P09 WindPoint-Pacific 2001'!E46</f>
        <v/>
      </c>
      <c r="O14" s="160">
        <f>'P09 WindPoint-Pacific 2001'!E57</f>
        <v/>
      </c>
      <c r="P14" s="161">
        <f>'P09 WindPoint-Pacific 2001'!E58</f>
        <v/>
      </c>
      <c r="Q14" s="157" t="n"/>
    </row>
    <row r="15" ht="30" customHeight="1" s="148">
      <c r="B15" s="157" t="n">
        <v>10</v>
      </c>
      <c r="C15" s="158" t="inlineStr">
        <is>
          <t>Pegasus Capital / Cannondale (2003-08)</t>
        </is>
      </c>
      <c r="D15" s="158" t="inlineStr">
        <is>
          <t>Distressed 363 purchase and exit</t>
        </is>
      </c>
      <c r="E15" s="158" t="inlineStr">
        <is>
          <t>Realised Q1-2008</t>
        </is>
      </c>
      <c r="F15" s="159">
        <f>'P10 Pegasus-Cannondale 2003'!N5</f>
        <v/>
      </c>
      <c r="G15" s="159">
        <f>'P10 Pegasus-Cannondale 2003'!N6</f>
        <v/>
      </c>
      <c r="H15" s="160">
        <f>'P10 Pegasus-Cannondale 2003'!N7</f>
        <v/>
      </c>
      <c r="I15" s="159">
        <f>'P10 Pegasus-Cannondale 2003'!N8</f>
        <v/>
      </c>
      <c r="J15" s="160">
        <f>'P10 Pegasus-Cannondale 2003'!N9</f>
        <v/>
      </c>
      <c r="K15" s="159">
        <f>'P10 Pegasus-Cannondale 2003'!E6</f>
        <v/>
      </c>
      <c r="L15" s="160">
        <f>'P10 Pegasus-Cannondale 2003'!N18</f>
        <v/>
      </c>
      <c r="M15" s="160">
        <f>'P10 Pegasus-Cannondale 2003'!E45</f>
        <v/>
      </c>
      <c r="N15" s="161">
        <f>'P10 Pegasus-Cannondale 2003'!E46</f>
        <v/>
      </c>
      <c r="O15" s="160">
        <f>'P10 Pegasus-Cannondale 2003'!E57</f>
        <v/>
      </c>
      <c r="P15" s="161">
        <f>'P10 Pegasus-Cannondale 2003'!E58</f>
        <v/>
      </c>
      <c r="Q15" s="157" t="n"/>
    </row>
    <row r="16" ht="30" customHeight="1" s="148">
      <c r="B16" s="157" t="n">
        <v>11</v>
      </c>
      <c r="C16" s="158" t="inlineStr">
        <is>
          <t>Cerberus + Koch / Dorel (2021) [TERMINATED]</t>
        </is>
      </c>
      <c r="D16" s="158" t="inlineStr">
        <is>
          <t>Take-private with family rollover (terminated 15 Feb 2021)</t>
        </is>
      </c>
      <c r="E16" s="158" t="inlineStr">
        <is>
          <t>Terminated; counterfactual shown</t>
        </is>
      </c>
      <c r="F16" s="159">
        <f>'P11 Cerberus-Dorel 2021 TERM'!N5</f>
        <v/>
      </c>
      <c r="G16" s="159">
        <f>'P11 Cerberus-Dorel 2021 TERM'!N6</f>
        <v/>
      </c>
      <c r="H16" s="160">
        <f>'P11 Cerberus-Dorel 2021 TERM'!N7</f>
        <v/>
      </c>
      <c r="I16" s="159">
        <f>'P11 Cerberus-Dorel 2021 TERM'!N8</f>
        <v/>
      </c>
      <c r="J16" s="160">
        <f>'P11 Cerberus-Dorel 2021 TERM'!N9</f>
        <v/>
      </c>
      <c r="K16" s="159">
        <f>'P11 Cerberus-Dorel 2021 TERM'!E6</f>
        <v/>
      </c>
      <c r="L16" s="160">
        <f>'P11 Cerberus-Dorel 2021 TERM'!N18</f>
        <v/>
      </c>
      <c r="M16" s="160">
        <f>'P11 Cerberus-Dorel 2021 TERM'!E45</f>
        <v/>
      </c>
      <c r="N16" s="161">
        <f>'P11 Cerberus-Dorel 2021 TERM'!E46</f>
        <v/>
      </c>
      <c r="O16" s="160">
        <f>'P11 Cerberus-Dorel 2021 TERM'!E57</f>
        <v/>
      </c>
      <c r="P16" s="161">
        <f>'P11 Cerberus-Dorel 2021 TERM'!E58</f>
        <v/>
      </c>
      <c r="Q16" s="157" t="n"/>
    </row>
    <row r="18" ht="15" customHeight="1" s="148">
      <c r="B18" s="163" t="inlineStr">
        <is>
          <t>Portfolio arithmetic (sponsor deals only, excluding the two strategic rows and the terminated deal)</t>
        </is>
      </c>
    </row>
    <row r="19" ht="15" customHeight="1" s="148">
      <c r="B19" s="147" t="inlineStr">
        <is>
          <t>Deals with a realised, disclosed exit</t>
        </is>
      </c>
      <c r="F19" s="147">
        <f>COUNTIF(O6:O16,"&gt;0")</f>
        <v/>
      </c>
    </row>
    <row r="20" ht="15" customHeight="1" s="148">
      <c r="B20" s="147" t="inlineStr">
        <is>
          <t>Median MoM, underwritten (all rows)</t>
        </is>
      </c>
      <c r="F20" s="164">
        <f>MEDIAN(M6:M16)</f>
        <v/>
      </c>
    </row>
    <row r="21" ht="15" customHeight="1" s="148">
      <c r="B21" s="147" t="inlineStr">
        <is>
          <t>Median MoM, actual (where disclosed)</t>
        </is>
      </c>
      <c r="F21" s="164">
        <f>IFERROR(MEDIAN(O6:O16),"n/a")</f>
        <v/>
      </c>
    </row>
    <row r="22" ht="15" customHeight="1" s="148">
      <c r="B22" s="147" t="inlineStr">
        <is>
          <t>Aggregate entry EV, all rows</t>
        </is>
      </c>
      <c r="F22" s="165">
        <f>SUM(F6:F16)</f>
        <v/>
      </c>
    </row>
    <row r="25">
      <c r="B25" s="166" t="inlineStr">
        <is>
          <t>Acquisition models (Sunoco LP; strategic, not LBOs)</t>
        </is>
      </c>
    </row>
    <row r="26">
      <c r="B26" s="167" t="inlineStr">
        <is>
          <t>#</t>
        </is>
      </c>
      <c r="C26" s="167" t="inlineStr">
        <is>
          <t>Deal</t>
        </is>
      </c>
      <c r="D26" s="167" t="inlineStr">
        <is>
          <t>Classification</t>
        </is>
      </c>
      <c r="E26" s="167" t="inlineStr">
        <is>
          <t>Status</t>
        </is>
      </c>
      <c r="F26" s="167" t="inlineStr">
        <is>
          <t>Target EV</t>
        </is>
      </c>
      <c r="G26" s="167" t="inlineStr">
        <is>
          <t>Target EBITDA</t>
        </is>
      </c>
      <c r="H26" s="167" t="inlineStr">
        <is>
          <t>EV / EBITDA</t>
        </is>
      </c>
      <c r="I26" s="167" t="inlineStr">
        <is>
          <t>Units issued (m)</t>
        </is>
      </c>
      <c r="J26" s="167" t="inlineStr">
        <is>
          <t>Accretion Y1</t>
        </is>
      </c>
      <c r="K26" s="167" t="inlineStr">
        <is>
          <t>Accretion Y3</t>
        </is>
      </c>
      <c r="L26" s="167" t="inlineStr">
        <is>
          <t>Leverage at close</t>
        </is>
      </c>
      <c r="M26" s="167" t="inlineStr">
        <is>
          <t>Leverage Y3</t>
        </is>
      </c>
      <c r="N26" s="167" t="inlineStr">
        <is>
          <t>Mgmt accretion target</t>
        </is>
      </c>
    </row>
    <row r="27">
      <c r="B27" s="168" t="inlineStr">
        <is>
          <t>M1</t>
        </is>
      </c>
      <c r="C27" s="168" t="inlineStr">
        <is>
          <t>Sunoco LP / NuStar Energy L.P. (2024)</t>
        </is>
      </c>
      <c r="D27" s="168" t="inlineStr">
        <is>
          <t>All-equity MLP merger</t>
        </is>
      </c>
      <c r="E27" s="168" t="inlineStr">
        <is>
          <t>Closed 3 May 2024</t>
        </is>
      </c>
      <c r="F27" s="169">
        <f>'M01 SUN-NuStar 2024'!C48</f>
        <v/>
      </c>
      <c r="G27" s="169">
        <f>'M01 SUN-NuStar 2024'!E20</f>
        <v/>
      </c>
      <c r="H27" s="170">
        <f>'M01 SUN-NuStar 2024'!C49</f>
        <v/>
      </c>
      <c r="I27" s="171">
        <f>'M01 SUN-NuStar 2024'!E30</f>
        <v/>
      </c>
      <c r="J27" s="172">
        <f>'M01 SUN-NuStar 2024'!C62</f>
        <v/>
      </c>
      <c r="K27" s="172">
        <f>'M01 SUN-NuStar 2024'!E62</f>
        <v/>
      </c>
      <c r="L27" s="170">
        <f>'M01 SUN-NuStar 2024'!C70</f>
        <v/>
      </c>
      <c r="M27" s="170">
        <f>'M01 SUN-NuStar 2024'!E75</f>
        <v/>
      </c>
      <c r="N27" s="168" t="inlineStr">
        <is>
          <t>10%+ by year 3</t>
        </is>
      </c>
    </row>
    <row r="28">
      <c r="B28" s="168" t="inlineStr">
        <is>
          <t>M2</t>
        </is>
      </c>
      <c r="C28" s="168" t="inlineStr">
        <is>
          <t>Sunoco LP / Parkland Corporation (2025)</t>
        </is>
      </c>
      <c r="D28" s="168" t="inlineStr">
        <is>
          <t>Cash-and-units plan of arrangement</t>
        </is>
      </c>
      <c r="E28" s="168" t="inlineStr">
        <is>
          <t>Closed 31 Oct 2025</t>
        </is>
      </c>
      <c r="F28" s="169">
        <f>'M02 SUN-Parkland 2025'!C48</f>
        <v/>
      </c>
      <c r="G28" s="169">
        <f>'M02 SUN-Parkland 2025'!E20</f>
        <v/>
      </c>
      <c r="H28" s="170">
        <f>'M02 SUN-Parkland 2025'!C49</f>
        <v/>
      </c>
      <c r="I28" s="171">
        <f>'M02 SUN-Parkland 2025'!E30</f>
        <v/>
      </c>
      <c r="J28" s="172">
        <f>'M02 SUN-Parkland 2025'!C62</f>
        <v/>
      </c>
      <c r="K28" s="172">
        <f>'M02 SUN-Parkland 2025'!E62</f>
        <v/>
      </c>
      <c r="L28" s="170">
        <f>'M02 SUN-Parkland 2025'!C70</f>
        <v/>
      </c>
      <c r="M28" s="170">
        <f>'M02 SUN-Parkland 2025'!E75</f>
        <v/>
      </c>
      <c r="N28" s="168" t="inlineStr">
        <is>
          <t>10%+ by year 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44546A"/>
    <outlinePr summaryBelow="1" summaryRight="1"/>
    <pageSetUpPr fitToPage="0"/>
  </sheetPr>
  <dimension ref="B2:P77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.45" customWidth="1" style="147" min="2" max="2"/>
    <col width="10.45" customWidth="1" style="147" min="6" max="6"/>
    <col width="30" customWidth="1" style="147" min="12" max="12"/>
    <col width="3" customWidth="1" style="147" min="13" max="13"/>
    <col width="14" customWidth="1" style="147" min="14" max="14"/>
    <col width="6" customWidth="1" style="147" min="15" max="15"/>
    <col width="70" customWidth="1" style="147" min="16" max="16"/>
  </cols>
  <sheetData>
    <row r="2" ht="17.35" customHeight="1" s="148">
      <c r="B2" s="173" t="inlineStr">
        <is>
          <t>KKR / Varsity Brands (2024) — Paper LBO</t>
        </is>
      </c>
    </row>
    <row r="4" ht="14.25" customHeight="1" s="148">
      <c r="B4" s="174" t="inlineStr">
        <is>
          <t>Sources</t>
        </is>
      </c>
      <c r="G4" s="174" t="inlineStr">
        <is>
          <t>Uses</t>
        </is>
      </c>
      <c r="L4" s="175" t="inlineStr">
        <is>
          <t>INPUTS</t>
        </is>
      </c>
      <c r="N4" s="175" t="inlineStr">
        <is>
          <t>Value</t>
        </is>
      </c>
      <c r="O4" s="175" t="inlineStr">
        <is>
          <t>Tag</t>
        </is>
      </c>
      <c r="P4" s="175" t="inlineStr">
        <is>
          <t>Source  (F = filed / rating agency, P = press, A = assumption; blue = assumption)</t>
        </is>
      </c>
    </row>
    <row r="5" ht="14.25" customHeight="1" s="148">
      <c r="B5" s="147" t="inlineStr">
        <is>
          <t>Debt</t>
        </is>
      </c>
      <c r="E5" s="176">
        <f>E12</f>
        <v/>
      </c>
      <c r="F5" s="177" t="n"/>
      <c r="G5" s="147" t="inlineStr">
        <is>
          <t>Purchase Price</t>
        </is>
      </c>
      <c r="J5" s="176">
        <f>J12</f>
        <v/>
      </c>
      <c r="L5" s="178" t="inlineStr">
        <is>
          <t>Entry enterprise value ($m)</t>
        </is>
      </c>
      <c r="N5" s="179" t="n">
        <v>4750</v>
      </c>
      <c r="O5" s="180" t="inlineStr">
        <is>
          <t>P</t>
        </is>
      </c>
      <c r="P5" s="181" t="inlineStr">
        <is>
          <t>PitchBook LCD / Sportico</t>
        </is>
      </c>
    </row>
    <row r="6" ht="14.25" customHeight="1" s="148">
      <c r="B6" s="147" t="inlineStr">
        <is>
          <t>Equity (plug)</t>
        </is>
      </c>
      <c r="E6" s="176">
        <f>E7-E5</f>
        <v/>
      </c>
      <c r="L6" s="178" t="inlineStr">
        <is>
          <t>Entry EBITDA, LTM ($m)</t>
        </is>
      </c>
      <c r="N6" s="179" t="n">
        <v>400</v>
      </c>
      <c r="O6" s="180" t="inlineStr">
        <is>
          <t>P</t>
        </is>
      </c>
      <c r="P6" s="181" t="inlineStr">
        <is>
          <t>Trade press '&gt;$400m'; Moody's 6.2x on ~$2.48bn debt implies ~$400m</t>
        </is>
      </c>
    </row>
    <row r="7" ht="14.25" customHeight="1" s="148">
      <c r="B7" s="182" t="inlineStr">
        <is>
          <t>Total Sources</t>
        </is>
      </c>
      <c r="C7" s="182" t="n"/>
      <c r="D7" s="182" t="n"/>
      <c r="E7" s="183">
        <f>J7</f>
        <v/>
      </c>
      <c r="G7" s="182" t="inlineStr">
        <is>
          <t>Total Uses</t>
        </is>
      </c>
      <c r="H7" s="182" t="n"/>
      <c r="I7" s="182" t="n"/>
      <c r="J7" s="183">
        <f>J5</f>
        <v/>
      </c>
      <c r="L7" s="178" t="inlineStr">
        <is>
          <t>Entry multiple (x)</t>
        </is>
      </c>
      <c r="N7" s="184">
        <f>N5/N6</f>
        <v/>
      </c>
      <c r="O7" s="180" t="inlineStr">
        <is>
          <t>calc</t>
        </is>
      </c>
      <c r="P7" s="181" t="inlineStr">
        <is>
          <t>Derived</t>
        </is>
      </c>
    </row>
    <row r="8" ht="14.25" customHeight="1" s="148">
      <c r="L8" s="178" t="inlineStr">
        <is>
          <t>Debt raised ($m)</t>
        </is>
      </c>
      <c r="N8" s="179" t="n">
        <v>2475</v>
      </c>
      <c r="O8" s="180" t="inlineStr">
        <is>
          <t>F</t>
        </is>
      </c>
      <c r="P8" s="181" t="inlineStr">
        <is>
          <t>$2,375m TLB + $100m ABL drawn at close (LCD, Sportico)</t>
        </is>
      </c>
    </row>
    <row r="9" ht="14.25" customHeight="1" s="148">
      <c r="B9" s="185" t="inlineStr">
        <is>
          <t>Build to Debt</t>
        </is>
      </c>
      <c r="G9" s="185" t="inlineStr">
        <is>
          <t>Build to Purchase Price</t>
        </is>
      </c>
      <c r="L9" s="178" t="inlineStr">
        <is>
          <t>Leverage (x EBITDA)</t>
        </is>
      </c>
      <c r="N9" s="184">
        <f>N8/N6</f>
        <v/>
      </c>
      <c r="O9" s="180" t="inlineStr">
        <is>
          <t>calc</t>
        </is>
      </c>
      <c r="P9" s="181" t="inlineStr">
        <is>
          <t>Derived</t>
        </is>
      </c>
    </row>
    <row r="10" ht="14.25" customHeight="1" s="148">
      <c r="B10" s="147" t="inlineStr">
        <is>
          <t>2024 EBITDA (LTM)</t>
        </is>
      </c>
      <c r="E10" s="176">
        <f>E18</f>
        <v/>
      </c>
      <c r="G10" s="147" t="inlineStr">
        <is>
          <t>2024 EBITDA (LTM)</t>
        </is>
      </c>
      <c r="J10" s="176">
        <f>E18</f>
        <v/>
      </c>
      <c r="L10" s="178" t="inlineStr">
        <is>
          <t>Blended cash interest rate</t>
        </is>
      </c>
      <c r="N10" s="186" t="n">
        <v>0.0905</v>
      </c>
      <c r="O10" s="180" t="inlineStr">
        <is>
          <t>F</t>
        </is>
      </c>
      <c r="P10" s="181" t="inlineStr">
        <is>
          <t>TLB S+375 (fund holdings show TSFR3M+3.75%); 3M SOFR ~5.30% Aug-2024</t>
        </is>
      </c>
    </row>
    <row r="11" ht="14.25" customHeight="1" s="148">
      <c r="B11" s="147" t="inlineStr">
        <is>
          <t>(x) Leverage</t>
        </is>
      </c>
      <c r="E11" s="164">
        <f>N9</f>
        <v/>
      </c>
      <c r="G11" s="147" t="inlineStr">
        <is>
          <t>(x) Multiple of 2023 EBITDA</t>
        </is>
      </c>
      <c r="J11" s="164">
        <f>N7</f>
        <v/>
      </c>
      <c r="L11" s="178" t="inlineStr">
        <is>
          <t>Tax rate</t>
        </is>
      </c>
      <c r="N11" s="187" t="n">
        <v>0.25</v>
      </c>
      <c r="O11" s="180" t="inlineStr">
        <is>
          <t>A</t>
        </is>
      </c>
      <c r="P11" s="181" t="inlineStr">
        <is>
          <t>Blended US federal+state assumption</t>
        </is>
      </c>
    </row>
    <row r="12" ht="14.25" customHeight="1" s="148">
      <c r="B12" s="188" t="inlineStr">
        <is>
          <t>Debt</t>
        </is>
      </c>
      <c r="C12" s="188" t="n"/>
      <c r="D12" s="188" t="n"/>
      <c r="E12" s="189">
        <f>E10*E11</f>
        <v/>
      </c>
      <c r="G12" s="188" t="inlineStr">
        <is>
          <t>Purchase Price</t>
        </is>
      </c>
      <c r="H12" s="188" t="n"/>
      <c r="I12" s="188" t="n"/>
      <c r="J12" s="189">
        <f>J10*J11</f>
        <v/>
      </c>
      <c r="L12" s="178" t="inlineStr">
        <is>
          <t>Base-year revenue ($m)</t>
        </is>
      </c>
      <c r="N12" s="179" t="n">
        <v>2600</v>
      </c>
      <c r="O12" s="180" t="inlineStr">
        <is>
          <t>F</t>
        </is>
      </c>
      <c r="P12" s="181" t="inlineStr">
        <is>
          <t>Moody's: ~$2.6bn LTM Mar-2025 (SGB Media, Jul 2025)</t>
        </is>
      </c>
    </row>
    <row r="13" ht="14.25" customHeight="1" s="148">
      <c r="L13" s="178" t="inlineStr">
        <is>
          <t>Incremental revenue p.a. ($m)</t>
        </is>
      </c>
      <c r="N13" s="190" t="n">
        <v>130</v>
      </c>
      <c r="O13" s="180" t="inlineStr">
        <is>
          <t>A</t>
        </is>
      </c>
      <c r="P13" s="181" t="inlineStr">
        <is>
          <t>5% p.a.; Moody's projected mid-single-digit growth</t>
        </is>
      </c>
    </row>
    <row r="14" ht="14.25" customHeight="1" s="148">
      <c r="B14" s="191" t="inlineStr">
        <is>
          <t>Simple P&amp;L</t>
        </is>
      </c>
      <c r="C14" s="192" t="n"/>
      <c r="D14" s="192" t="n"/>
      <c r="E14" s="174" t="n">
        <v>2024</v>
      </c>
      <c r="F14" s="174">
        <f>E14+1</f>
        <v/>
      </c>
      <c r="G14" s="174">
        <f>F14+1</f>
        <v/>
      </c>
      <c r="H14" s="174">
        <f>G14+1</f>
        <v/>
      </c>
      <c r="I14" s="174">
        <f>H14+1</f>
        <v/>
      </c>
      <c r="J14" s="174">
        <f>I14+1</f>
        <v/>
      </c>
      <c r="L14" s="178" t="inlineStr">
        <is>
          <t>EBITDA margin, base year</t>
        </is>
      </c>
      <c r="N14" s="186">
        <f>N6/N12</f>
        <v/>
      </c>
      <c r="O14" s="180" t="inlineStr">
        <is>
          <t>calc</t>
        </is>
      </c>
      <c r="P14" s="181" t="inlineStr">
        <is>
          <t>Derived</t>
        </is>
      </c>
    </row>
    <row r="15" ht="14.25" customHeight="1" s="148">
      <c r="B15" s="147" t="inlineStr">
        <is>
          <t>Revenue</t>
        </is>
      </c>
      <c r="E15" s="176">
        <f>N12</f>
        <v/>
      </c>
      <c r="F15" s="176">
        <f>E15+F16</f>
        <v/>
      </c>
      <c r="G15" s="176">
        <f>F15+G16</f>
        <v/>
      </c>
      <c r="H15" s="176">
        <f>G15+H16</f>
        <v/>
      </c>
      <c r="I15" s="176">
        <f>H15+I16</f>
        <v/>
      </c>
      <c r="J15" s="176">
        <f>I15+J16</f>
        <v/>
      </c>
      <c r="L15" s="178" t="inlineStr">
        <is>
          <t>D&amp;A p.a. ($m)</t>
        </is>
      </c>
      <c r="N15" s="190" t="n">
        <v>78</v>
      </c>
      <c r="O15" s="180" t="inlineStr">
        <is>
          <t>A</t>
        </is>
      </c>
      <c r="P15" s="181" t="inlineStr">
        <is>
          <t>3.0% of revenue, assumption</t>
        </is>
      </c>
    </row>
    <row r="16" ht="14.25" customHeight="1" s="148">
      <c r="B16" s="193" t="inlineStr">
        <is>
          <t>$ Incremental Revenue</t>
        </is>
      </c>
      <c r="F16" s="194">
        <f>N13</f>
        <v/>
      </c>
      <c r="G16" s="194">
        <f>F16</f>
        <v/>
      </c>
      <c r="H16" s="194">
        <f>G16</f>
        <v/>
      </c>
      <c r="I16" s="194">
        <f>H16</f>
        <v/>
      </c>
      <c r="J16" s="194">
        <f>I16</f>
        <v/>
      </c>
      <c r="L16" s="178" t="inlineStr">
        <is>
          <t>Capex p.a. ($m)</t>
        </is>
      </c>
      <c r="N16" s="190" t="n">
        <v>62</v>
      </c>
      <c r="O16" s="180" t="inlineStr">
        <is>
          <t>A</t>
        </is>
      </c>
      <c r="P16" s="181" t="inlineStr">
        <is>
          <t>80% of D&amp;A, assumption</t>
        </is>
      </c>
    </row>
    <row r="17" ht="14.25" customHeight="1" s="148">
      <c r="L17" s="178" t="inlineStr">
        <is>
          <t>Change in NWC p.a. ($m, negative = investment)</t>
        </is>
      </c>
      <c r="N17" s="190" t="n">
        <v>0</v>
      </c>
      <c r="O17" s="180" t="inlineStr">
        <is>
          <t>A</t>
        </is>
      </c>
      <c r="P17" s="181" t="inlineStr">
        <is>
          <t>Assumed flat</t>
        </is>
      </c>
    </row>
    <row r="18" ht="14.25" customHeight="1" s="148">
      <c r="B18" s="147" t="inlineStr">
        <is>
          <t>EBITDA</t>
        </is>
      </c>
      <c r="E18" s="176">
        <f>E19*E15</f>
        <v/>
      </c>
      <c r="F18" s="176">
        <f>F19*F15</f>
        <v/>
      </c>
      <c r="G18" s="176">
        <f>G19*G15</f>
        <v/>
      </c>
      <c r="H18" s="176">
        <f>H19*H15</f>
        <v/>
      </c>
      <c r="I18" s="176">
        <f>I19*I15</f>
        <v/>
      </c>
      <c r="J18" s="176">
        <f>J19*J15</f>
        <v/>
      </c>
      <c r="L18" s="178" t="inlineStr">
        <is>
          <t>Exit multiple (x)</t>
        </is>
      </c>
      <c r="N18" s="195" t="n">
        <v>11</v>
      </c>
      <c r="O18" s="180" t="inlineStr">
        <is>
          <t>A</t>
        </is>
      </c>
      <c r="P18" s="181" t="inlineStr">
        <is>
          <t>Entry 11.9x; modest compression assumed</t>
        </is>
      </c>
    </row>
    <row r="19" ht="14.25" customHeight="1" s="148">
      <c r="B19" s="193" t="inlineStr">
        <is>
          <t>% margin</t>
        </is>
      </c>
      <c r="E19" s="196">
        <f>N14</f>
        <v/>
      </c>
      <c r="F19" s="196">
        <f>E19</f>
        <v/>
      </c>
      <c r="G19" s="196">
        <f>F19</f>
        <v/>
      </c>
      <c r="H19" s="196">
        <f>G19</f>
        <v/>
      </c>
      <c r="I19" s="196">
        <f>H19</f>
        <v/>
      </c>
      <c r="J19" s="196">
        <f>I19</f>
        <v/>
      </c>
      <c r="L19" s="178" t="inlineStr">
        <is>
          <t>Entry date</t>
        </is>
      </c>
      <c r="N19" s="197" t="n">
        <v>45530</v>
      </c>
      <c r="O19" s="180" t="inlineStr">
        <is>
          <t>F</t>
        </is>
      </c>
      <c r="P19" s="181" t="inlineStr">
        <is>
          <t>Closing date per filings</t>
        </is>
      </c>
    </row>
    <row r="20" ht="14.25" customHeight="1" s="148">
      <c r="L20" s="178" t="inlineStr">
        <is>
          <t>Underwritten exit date (5-year hold)</t>
        </is>
      </c>
      <c r="N20" s="198" t="n">
        <v>47356</v>
      </c>
      <c r="O20" s="180" t="inlineStr">
        <is>
          <t>A</t>
        </is>
      </c>
      <c r="P20" s="181" t="inlineStr">
        <is>
          <t>Template convention: five projection years</t>
        </is>
      </c>
    </row>
    <row r="21" ht="14.25" customHeight="1" s="148">
      <c r="B21" s="185" t="inlineStr">
        <is>
          <t>LFCF Build</t>
        </is>
      </c>
      <c r="L21" s="178" t="inlineStr">
        <is>
          <t>Actual exit / valuation date</t>
        </is>
      </c>
      <c r="N21" s="197" t="inlineStr">
        <is>
          <t>n/a</t>
        </is>
      </c>
      <c r="O21" s="180" t="inlineStr">
        <is>
          <t>F</t>
        </is>
      </c>
      <c r="P21" s="181" t="inlineStr">
        <is>
          <t>No realised exit</t>
        </is>
      </c>
    </row>
    <row r="22" ht="14.25" customHeight="1" s="148">
      <c r="B22" s="147" t="inlineStr">
        <is>
          <t>EBITDA</t>
        </is>
      </c>
      <c r="E22" s="199" t="n"/>
      <c r="F22" s="199">
        <f>F18</f>
        <v/>
      </c>
      <c r="G22" s="199">
        <f>G18</f>
        <v/>
      </c>
      <c r="H22" s="199">
        <f>H18</f>
        <v/>
      </c>
      <c r="I22" s="199">
        <f>I18</f>
        <v/>
      </c>
      <c r="J22" s="199">
        <f>J18</f>
        <v/>
      </c>
    </row>
    <row r="23" ht="14.25" customHeight="1" s="148">
      <c r="B23" s="147" t="inlineStr">
        <is>
          <t>(-) D&amp;A</t>
        </is>
      </c>
      <c r="E23" s="199" t="n"/>
      <c r="F23" s="199">
        <f>-$N$15</f>
        <v/>
      </c>
      <c r="G23" s="199">
        <f>-$N$15</f>
        <v/>
      </c>
      <c r="H23" s="199">
        <f>-$N$15</f>
        <v/>
      </c>
      <c r="I23" s="199">
        <f>-$N$15</f>
        <v/>
      </c>
      <c r="J23" s="199">
        <f>-$N$15</f>
        <v/>
      </c>
    </row>
    <row r="24" ht="14.25" customHeight="1" s="148">
      <c r="B24" s="188" t="inlineStr">
        <is>
          <t>EBIT</t>
        </is>
      </c>
      <c r="C24" s="188" t="n"/>
      <c r="D24" s="188" t="n"/>
      <c r="E24" s="200" t="n"/>
      <c r="F24" s="200">
        <f>F22+F23</f>
        <v/>
      </c>
      <c r="G24" s="200">
        <f>G22+G23</f>
        <v/>
      </c>
      <c r="H24" s="200">
        <f>H22+H23</f>
        <v/>
      </c>
      <c r="I24" s="200">
        <f>I22+I23</f>
        <v/>
      </c>
      <c r="J24" s="200">
        <f>J22+J23</f>
        <v/>
      </c>
    </row>
    <row r="25" ht="14.25" customHeight="1" s="148">
      <c r="B25" s="147" t="inlineStr">
        <is>
          <t>(-) Cash Interest</t>
        </is>
      </c>
      <c r="D25" s="196">
        <f>N10</f>
        <v/>
      </c>
      <c r="E25" s="199" t="n"/>
      <c r="F25" s="199">
        <f>$E$12*-$D$25</f>
        <v/>
      </c>
      <c r="G25" s="199">
        <f>$E$12*-$D$25</f>
        <v/>
      </c>
      <c r="H25" s="199">
        <f>$E$12*-$D$25</f>
        <v/>
      </c>
      <c r="I25" s="199">
        <f>$E$12*-$D$25</f>
        <v/>
      </c>
      <c r="J25" s="199">
        <f>$E$12*-$D$25</f>
        <v/>
      </c>
    </row>
    <row r="26" ht="14.25" customHeight="1" s="148">
      <c r="B26" s="188" t="inlineStr">
        <is>
          <t>EBT</t>
        </is>
      </c>
      <c r="C26" s="188" t="n"/>
      <c r="D26" s="188" t="n"/>
      <c r="E26" s="200" t="n"/>
      <c r="F26" s="200">
        <f>F24+F25</f>
        <v/>
      </c>
      <c r="G26" s="200">
        <f>G24+G25</f>
        <v/>
      </c>
      <c r="H26" s="200">
        <f>H24+H25</f>
        <v/>
      </c>
      <c r="I26" s="200">
        <f>I24+I25</f>
        <v/>
      </c>
      <c r="J26" s="200">
        <f>J24+J25</f>
        <v/>
      </c>
    </row>
    <row r="27" ht="14.25" customHeight="1" s="148">
      <c r="B27" s="147" t="inlineStr">
        <is>
          <t>(-) Taxes</t>
        </is>
      </c>
      <c r="D27" s="196">
        <f>N11</f>
        <v/>
      </c>
      <c r="E27" s="199" t="n"/>
      <c r="F27" s="199">
        <f>F26*-$D27</f>
        <v/>
      </c>
      <c r="G27" s="199">
        <f>G26*-$D27</f>
        <v/>
      </c>
      <c r="H27" s="199">
        <f>H26*-$D27</f>
        <v/>
      </c>
      <c r="I27" s="199">
        <f>I26*-$D27</f>
        <v/>
      </c>
      <c r="J27" s="199">
        <f>J26*-$D27</f>
        <v/>
      </c>
    </row>
    <row r="28" ht="14.25" customHeight="1" s="148">
      <c r="B28" s="188" t="inlineStr">
        <is>
          <t>Net Income</t>
        </is>
      </c>
      <c r="C28" s="188" t="n"/>
      <c r="D28" s="188" t="n"/>
      <c r="E28" s="200" t="n"/>
      <c r="F28" s="200">
        <f>F26+F27</f>
        <v/>
      </c>
      <c r="G28" s="200">
        <f>G26+G27</f>
        <v/>
      </c>
      <c r="H28" s="200">
        <f>H26+H27</f>
        <v/>
      </c>
      <c r="I28" s="200">
        <f>I26+I27</f>
        <v/>
      </c>
      <c r="J28" s="200">
        <f>J26+J27</f>
        <v/>
      </c>
    </row>
    <row r="29" ht="14.25" customHeight="1" s="148">
      <c r="B29" s="147" t="inlineStr">
        <is>
          <t>(+) D&amp;A</t>
        </is>
      </c>
      <c r="E29" s="199" t="n"/>
      <c r="F29" s="199">
        <f>-F23</f>
        <v/>
      </c>
      <c r="G29" s="199">
        <f>-G23</f>
        <v/>
      </c>
      <c r="H29" s="199">
        <f>-H23</f>
        <v/>
      </c>
      <c r="I29" s="199">
        <f>-I23</f>
        <v/>
      </c>
      <c r="J29" s="199">
        <f>-J23</f>
        <v/>
      </c>
    </row>
    <row r="30" ht="14.25" customHeight="1" s="148">
      <c r="B30" s="147" t="inlineStr">
        <is>
          <t>(-) Capex</t>
        </is>
      </c>
      <c r="E30" s="199" t="n"/>
      <c r="F30" s="199">
        <f>-$N$16</f>
        <v/>
      </c>
      <c r="G30" s="199">
        <f>-$N$16</f>
        <v/>
      </c>
      <c r="H30" s="199">
        <f>-$N$16</f>
        <v/>
      </c>
      <c r="I30" s="199">
        <f>-$N$16</f>
        <v/>
      </c>
      <c r="J30" s="199">
        <f>-$N$16</f>
        <v/>
      </c>
    </row>
    <row r="31" ht="14.25" customHeight="1" s="148">
      <c r="B31" s="147" t="inlineStr">
        <is>
          <t>(-) Change in NWC</t>
        </is>
      </c>
      <c r="E31" s="199" t="n"/>
      <c r="F31" s="199">
        <f>$N$17</f>
        <v/>
      </c>
      <c r="G31" s="199">
        <f>$N$17</f>
        <v/>
      </c>
      <c r="H31" s="199">
        <f>$N$17</f>
        <v/>
      </c>
      <c r="I31" s="199">
        <f>$N$17</f>
        <v/>
      </c>
      <c r="J31" s="199">
        <f>$N$17</f>
        <v/>
      </c>
    </row>
    <row r="32" ht="14.25" customHeight="1" s="148">
      <c r="B32" s="188" t="inlineStr">
        <is>
          <t>Levered FCF</t>
        </is>
      </c>
      <c r="C32" s="188" t="n"/>
      <c r="D32" s="188" t="n"/>
      <c r="E32" s="200" t="n"/>
      <c r="F32" s="200">
        <f>SUM(F28:F31)</f>
        <v/>
      </c>
      <c r="G32" s="200">
        <f>SUM(G28:G31)</f>
        <v/>
      </c>
      <c r="H32" s="200">
        <f>SUM(H28:H31)</f>
        <v/>
      </c>
      <c r="I32" s="200">
        <f>SUM(I28:I31)</f>
        <v/>
      </c>
      <c r="J32" s="200">
        <f>SUM(J28:J31)</f>
        <v/>
      </c>
    </row>
    <row r="33" ht="14.25" customHeight="1" s="148">
      <c r="B33" s="193" t="inlineStr">
        <is>
          <t>Cumulative LFCF</t>
        </is>
      </c>
      <c r="E33" s="199" t="n"/>
      <c r="F33" s="201">
        <f>SUM($E32:F32)</f>
        <v/>
      </c>
      <c r="G33" s="201">
        <f>SUM($E32:G32)</f>
        <v/>
      </c>
      <c r="H33" s="201">
        <f>SUM($E32:H32)</f>
        <v/>
      </c>
      <c r="I33" s="201">
        <f>SUM($E32:I32)</f>
        <v/>
      </c>
      <c r="J33" s="201">
        <f>SUM($E32:J32)</f>
        <v/>
      </c>
    </row>
    <row r="35" ht="14.25" customHeight="1" s="148">
      <c r="B35" s="191" t="inlineStr">
        <is>
          <t>Returns — UNDERWRITTEN CASE (template mechanics: interest on opening debt, all LFCF accumulates as cash)</t>
        </is>
      </c>
      <c r="C35" s="192" t="n"/>
      <c r="D35" s="192" t="n"/>
      <c r="E35" s="174" t="n"/>
      <c r="F35" s="174" t="n"/>
      <c r="G35" s="174" t="n"/>
      <c r="H35" s="174" t="n"/>
      <c r="I35" s="174" t="n"/>
      <c r="J35" s="174" t="n"/>
    </row>
    <row r="37" ht="14.25" customHeight="1" s="148">
      <c r="B37" s="147" t="inlineStr">
        <is>
          <t>Exit EBITDA (2029)</t>
        </is>
      </c>
      <c r="E37" s="199">
        <f>J18</f>
        <v/>
      </c>
    </row>
    <row r="38" ht="14.25" customHeight="1" s="148">
      <c r="B38" s="147" t="inlineStr">
        <is>
          <t>(x) Exit Multiple</t>
        </is>
      </c>
      <c r="E38" s="164">
        <f>N18</f>
        <v/>
      </c>
    </row>
    <row r="39" ht="14.25" customHeight="1" s="148">
      <c r="B39" s="202" t="inlineStr">
        <is>
          <t>Enterprise Value</t>
        </is>
      </c>
      <c r="C39" s="202" t="n"/>
      <c r="D39" s="202" t="n"/>
      <c r="E39" s="203">
        <f>E37*E38</f>
        <v/>
      </c>
    </row>
    <row r="40" ht="14.25" customHeight="1" s="148">
      <c r="B40" s="147" t="inlineStr">
        <is>
          <t>(-) Debt</t>
        </is>
      </c>
      <c r="E40" s="199">
        <f>-E12</f>
        <v/>
      </c>
    </row>
    <row r="41" ht="14.25" customHeight="1" s="148">
      <c r="B41" s="147" t="inlineStr">
        <is>
          <t>(+) Cash</t>
        </is>
      </c>
      <c r="E41" s="199">
        <f>J33</f>
        <v/>
      </c>
    </row>
    <row r="42" ht="14.25" customHeight="1" s="148">
      <c r="B42" s="202" t="inlineStr">
        <is>
          <t>Equity Value at Exit</t>
        </is>
      </c>
      <c r="C42" s="202" t="n"/>
      <c r="D42" s="202" t="n"/>
      <c r="E42" s="203">
        <f>SUM(E39:E41)</f>
        <v/>
      </c>
    </row>
    <row r="43" ht="14.25" customHeight="1" s="148">
      <c r="B43" s="147" t="inlineStr">
        <is>
          <t xml:space="preserve">Initial Equity Investment </t>
        </is>
      </c>
      <c r="E43" s="199">
        <f>E6</f>
        <v/>
      </c>
    </row>
    <row r="45" ht="14.25" customHeight="1" s="148">
      <c r="B45" s="147" t="inlineStr">
        <is>
          <t>MoM</t>
        </is>
      </c>
      <c r="E45" s="164">
        <f>E42/E43</f>
        <v/>
      </c>
    </row>
    <row r="46" ht="14.25" customHeight="1" s="148">
      <c r="B46" s="147" t="inlineStr">
        <is>
          <t>IRR</t>
        </is>
      </c>
      <c r="E46" s="177">
        <f>XIRR(E48:E49,B48:B49)</f>
        <v/>
      </c>
    </row>
    <row r="48" ht="14.25" customHeight="1" s="148">
      <c r="B48" s="204">
        <f>N19</f>
        <v/>
      </c>
      <c r="E48" s="199">
        <f>-E6</f>
        <v/>
      </c>
    </row>
    <row r="49" ht="14.25" customHeight="1" s="148">
      <c r="B49" s="204">
        <f>N20</f>
        <v/>
      </c>
      <c r="E49" s="199">
        <f>E42</f>
        <v/>
      </c>
    </row>
    <row r="52" ht="14.25" customHeight="1" s="148">
      <c r="B52" s="205" t="inlineStr">
        <is>
          <t>ACTUAL OUTCOME</t>
        </is>
      </c>
      <c r="C52" s="206" t="n"/>
      <c r="D52" s="206" t="n"/>
      <c r="E52" s="206" t="n"/>
      <c r="F52" s="206" t="n"/>
      <c r="G52" s="206" t="n"/>
      <c r="H52" s="206" t="n"/>
      <c r="I52" s="206" t="n"/>
      <c r="J52" s="206" t="n"/>
    </row>
    <row r="53" ht="14.25" customHeight="1" s="148">
      <c r="B53" s="207" t="inlineStr">
        <is>
          <t>Exit enterprise value, actual ($m)</t>
        </is>
      </c>
      <c r="E53" s="155" t="inlineStr">
        <is>
          <t>not applicable</t>
        </is>
      </c>
    </row>
    <row r="54" ht="14.25" customHeight="1" s="148">
      <c r="B54" s="207" t="inlineStr">
        <is>
          <t>Debt at exit ($m)</t>
        </is>
      </c>
    </row>
    <row r="55" ht="14.25" customHeight="1" s="148">
      <c r="B55" s="207" t="inlineStr">
        <is>
          <t>Equity value at exit ($m)</t>
        </is>
      </c>
    </row>
    <row r="56" ht="14.25" customHeight="1" s="148">
      <c r="B56" s="207" t="inlineStr">
        <is>
          <t>Equity invested (from Sources) ($m)</t>
        </is>
      </c>
    </row>
    <row r="57" ht="14.25" customHeight="1" s="148">
      <c r="B57" s="207" t="inlineStr">
        <is>
          <t>MoM, actual</t>
        </is>
      </c>
    </row>
    <row r="58" ht="14.25" customHeight="1" s="148">
      <c r="B58" s="207" t="inlineStr">
        <is>
          <t>IRR, actual</t>
        </is>
      </c>
    </row>
    <row r="59" ht="14.25" customHeight="1" s="148">
      <c r="B59" s="207" t="inlineStr">
        <is>
          <t>MoM variance vs underwritten</t>
        </is>
      </c>
    </row>
    <row r="60" ht="14.25" customHeight="1" s="148">
      <c r="B60" s="207" t="inlineStr">
        <is>
          <t>IRR variance vs underwritten (pts)</t>
        </is>
      </c>
    </row>
    <row r="65" ht="14.25" customHeight="1" s="148">
      <c r="B65" s="163" t="inlineStr">
        <is>
          <t>Actual outcome note:</t>
        </is>
      </c>
    </row>
    <row r="66" ht="14.25" customHeight="1" s="148">
      <c r="B66" s="151" t="inlineStr">
        <is>
          <t>No realised exit; the deal is a current holding.</t>
        </is>
      </c>
    </row>
    <row r="67" ht="14.25" customHeight="1" s="148"/>
    <row r="68" ht="14.25" customHeight="1" s="148"/>
    <row r="69" ht="14.25" customHeight="1" s="148"/>
    <row r="71" ht="14.25" customHeight="1" s="148">
      <c r="B71" s="163" t="inlineStr">
        <is>
          <t>Deal note:</t>
        </is>
      </c>
    </row>
    <row r="72" ht="14.25" customHeight="1" s="148">
      <c r="B72" s="151" t="inlineStr">
        <is>
          <t>Prospective. KKR contributed ~$2.5bn of equity against ~$2.48bn of debt, an unusually thick cheque for a B3/B- credit. S&amp;P and Moody's both upgraded in mid-2025 on deleveraging.</t>
        </is>
      </c>
    </row>
    <row r="73" ht="14.25" customHeight="1" s="148"/>
    <row r="74" ht="14.25" customHeight="1" s="148"/>
    <row r="75" ht="14.25" customHeight="1" s="148"/>
    <row r="77" ht="14.25" customHeight="1" s="148">
      <c r="B77" s="155" t="inlineStr">
        <is>
          <t>Classification: Sponsor buyout  |  Status: Pending (hold)</t>
        </is>
      </c>
    </row>
  </sheetData>
  <mergeCells count="5">
    <mergeCell ref="B4:E4"/>
    <mergeCell ref="G4:J4"/>
    <mergeCell ref="B66:J69"/>
    <mergeCell ref="B72:J75"/>
    <mergeCell ref="B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44546A"/>
    <outlinePr summaryBelow="1" summaryRight="1"/>
    <pageSetUpPr fitToPage="0"/>
  </sheetPr>
  <dimension ref="B2:P77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.45" customWidth="1" style="147" min="2" max="2"/>
    <col width="10.45" customWidth="1" style="147" min="6" max="6"/>
    <col width="30" customWidth="1" style="147" min="12" max="12"/>
    <col width="3" customWidth="1" style="147" min="13" max="13"/>
    <col width="14" customWidth="1" style="147" min="14" max="14"/>
    <col width="6" customWidth="1" style="147" min="15" max="15"/>
    <col width="70" customWidth="1" style="147" min="16" max="16"/>
  </cols>
  <sheetData>
    <row r="2" ht="17.35" customHeight="1" s="148">
      <c r="B2" s="173" t="inlineStr">
        <is>
          <t>Bain Capital / Varsity Brands (2018-24) — Paper LBO</t>
        </is>
      </c>
    </row>
    <row r="4" ht="14.25" customHeight="1" s="148">
      <c r="B4" s="174" t="inlineStr">
        <is>
          <t>Sources</t>
        </is>
      </c>
      <c r="G4" s="174" t="inlineStr">
        <is>
          <t>Uses</t>
        </is>
      </c>
      <c r="L4" s="175" t="inlineStr">
        <is>
          <t>INPUTS</t>
        </is>
      </c>
      <c r="N4" s="175" t="inlineStr">
        <is>
          <t>Value</t>
        </is>
      </c>
      <c r="O4" s="175" t="inlineStr">
        <is>
          <t>Tag</t>
        </is>
      </c>
      <c r="P4" s="175" t="inlineStr">
        <is>
          <t>Source  (F = filed / rating agency, P = press, A = assumption; blue = assumption)</t>
        </is>
      </c>
    </row>
    <row r="5" ht="14.25" customHeight="1" s="148">
      <c r="B5" s="147" t="inlineStr">
        <is>
          <t>Debt</t>
        </is>
      </c>
      <c r="E5" s="176">
        <f>E12</f>
        <v/>
      </c>
      <c r="F5" s="177" t="n"/>
      <c r="G5" s="147" t="inlineStr">
        <is>
          <t>Purchase Price</t>
        </is>
      </c>
      <c r="J5" s="176">
        <f>J12</f>
        <v/>
      </c>
      <c r="L5" s="178" t="inlineStr">
        <is>
          <t>Entry enterprise value ($m)</t>
        </is>
      </c>
      <c r="N5" s="179" t="n">
        <v>2900</v>
      </c>
      <c r="O5" s="180" t="inlineStr">
        <is>
          <t>F</t>
        </is>
      </c>
      <c r="P5" s="181" t="inlineStr">
        <is>
          <t>Moody's: 'total implied enterprise value of approximately $2.9 billion' (press said ~$2.5bn)</t>
        </is>
      </c>
    </row>
    <row r="6" ht="22.35" customHeight="1" s="148">
      <c r="B6" s="147" t="inlineStr">
        <is>
          <t>Equity (plug)</t>
        </is>
      </c>
      <c r="E6" s="176">
        <f>E7-E5</f>
        <v/>
      </c>
      <c r="L6" s="178" t="inlineStr">
        <is>
          <t>Entry EBITDA, LTM ($m)</t>
        </is>
      </c>
      <c r="N6" s="190" t="n">
        <v>290</v>
      </c>
      <c r="O6" s="180" t="inlineStr">
        <is>
          <t>A</t>
        </is>
      </c>
      <c r="P6" s="181" t="inlineStr">
        <is>
          <t>Assumption: $2.9bn EV at 10.0x; Moody's showed 7.7x on ~$2.0bn debt at Dec-2019 (~$260m)</t>
        </is>
      </c>
    </row>
    <row r="7" ht="14.25" customHeight="1" s="148">
      <c r="B7" s="182" t="inlineStr">
        <is>
          <t>Total Sources</t>
        </is>
      </c>
      <c r="C7" s="182" t="n"/>
      <c r="D7" s="182" t="n"/>
      <c r="E7" s="183">
        <f>J7</f>
        <v/>
      </c>
      <c r="G7" s="182" t="inlineStr">
        <is>
          <t>Total Uses</t>
        </is>
      </c>
      <c r="H7" s="182" t="n"/>
      <c r="I7" s="182" t="n"/>
      <c r="J7" s="183">
        <f>J5</f>
        <v/>
      </c>
      <c r="L7" s="178" t="inlineStr">
        <is>
          <t>Entry multiple (x)</t>
        </is>
      </c>
      <c r="N7" s="184">
        <f>N5/N6</f>
        <v/>
      </c>
      <c r="O7" s="180" t="inlineStr">
        <is>
          <t>calc</t>
        </is>
      </c>
      <c r="P7" s="181" t="inlineStr">
        <is>
          <t>Derived</t>
        </is>
      </c>
    </row>
    <row r="8" ht="14.25" customHeight="1" s="148">
      <c r="L8" s="178" t="inlineStr">
        <is>
          <t>Debt raised ($m)</t>
        </is>
      </c>
      <c r="N8" s="179" t="n">
        <v>1990</v>
      </c>
      <c r="O8" s="180" t="inlineStr">
        <is>
          <t>F</t>
        </is>
      </c>
      <c r="P8" s="181" t="inlineStr">
        <is>
          <t>$1,370m 1L TL + $620m 2L TL (Moody's); $180m revolver undrawn</t>
        </is>
      </c>
    </row>
    <row r="9" ht="14.25" customHeight="1" s="148">
      <c r="B9" s="185" t="inlineStr">
        <is>
          <t>Build to Debt</t>
        </is>
      </c>
      <c r="G9" s="185" t="inlineStr">
        <is>
          <t>Build to Purchase Price</t>
        </is>
      </c>
      <c r="L9" s="178" t="inlineStr">
        <is>
          <t>Leverage (x EBITDA)</t>
        </is>
      </c>
      <c r="N9" s="184">
        <f>N8/N6</f>
        <v/>
      </c>
      <c r="O9" s="180" t="inlineStr">
        <is>
          <t>calc</t>
        </is>
      </c>
      <c r="P9" s="181" t="inlineStr">
        <is>
          <t>Derived</t>
        </is>
      </c>
    </row>
    <row r="10" ht="14.25" customHeight="1" s="148">
      <c r="B10" s="147" t="inlineStr">
        <is>
          <t>2018 EBITDA (LTM)</t>
        </is>
      </c>
      <c r="E10" s="176">
        <f>E18</f>
        <v/>
      </c>
      <c r="G10" s="147" t="inlineStr">
        <is>
          <t>2018 EBITDA (LTM)</t>
        </is>
      </c>
      <c r="J10" s="176">
        <f>E18</f>
        <v/>
      </c>
      <c r="L10" s="178" t="inlineStr">
        <is>
          <t>Blended cash interest rate</t>
        </is>
      </c>
      <c r="N10" s="187" t="n">
        <v>0.07149999999999999</v>
      </c>
      <c r="O10" s="180" t="inlineStr">
        <is>
          <t>A</t>
        </is>
      </c>
      <c r="P10" s="181" t="inlineStr">
        <is>
          <t>1L L+350 (~5.75%) and 2L assumed L+800 (~10.25%), blended</t>
        </is>
      </c>
    </row>
    <row r="11" ht="14.25" customHeight="1" s="148">
      <c r="B11" s="147" t="inlineStr">
        <is>
          <t>(x) Leverage</t>
        </is>
      </c>
      <c r="E11" s="164">
        <f>N9</f>
        <v/>
      </c>
      <c r="G11" s="147" t="inlineStr">
        <is>
          <t>(x) Multiple of 2023 EBITDA</t>
        </is>
      </c>
      <c r="J11" s="164">
        <f>N7</f>
        <v/>
      </c>
      <c r="L11" s="178" t="inlineStr">
        <is>
          <t>Tax rate</t>
        </is>
      </c>
      <c r="N11" s="187" t="n">
        <v>0.25</v>
      </c>
      <c r="O11" s="180" t="inlineStr">
        <is>
          <t>A</t>
        </is>
      </c>
      <c r="P11" s="181" t="inlineStr">
        <is>
          <t>Assumption</t>
        </is>
      </c>
    </row>
    <row r="12" ht="14.25" customHeight="1" s="148">
      <c r="B12" s="188" t="inlineStr">
        <is>
          <t>Debt</t>
        </is>
      </c>
      <c r="C12" s="188" t="n"/>
      <c r="D12" s="188" t="n"/>
      <c r="E12" s="189">
        <f>E10*E11</f>
        <v/>
      </c>
      <c r="G12" s="188" t="inlineStr">
        <is>
          <t>Purchase Price</t>
        </is>
      </c>
      <c r="H12" s="188" t="n"/>
      <c r="I12" s="188" t="n"/>
      <c r="J12" s="189">
        <f>J10*J11</f>
        <v/>
      </c>
      <c r="L12" s="178" t="inlineStr">
        <is>
          <t>Base-year revenue ($m)</t>
        </is>
      </c>
      <c r="N12" s="179" t="n">
        <v>2000</v>
      </c>
      <c r="O12" s="180" t="inlineStr">
        <is>
          <t>F</t>
        </is>
      </c>
      <c r="P12" s="181" t="inlineStr">
        <is>
          <t>Moody's: ~$2.0bn LTM Dec-2019</t>
        </is>
      </c>
    </row>
    <row r="13" ht="14.25" customHeight="1" s="148">
      <c r="L13" s="178" t="inlineStr">
        <is>
          <t>Incremental revenue p.a. ($m)</t>
        </is>
      </c>
      <c r="N13" s="190" t="n">
        <v>120</v>
      </c>
      <c r="O13" s="180" t="inlineStr">
        <is>
          <t>A</t>
        </is>
      </c>
      <c r="P13" s="181" t="inlineStr">
        <is>
          <t>Path to ~$400m EBITDA by 2023 at constant margin (6% p.a.)</t>
        </is>
      </c>
    </row>
    <row r="14" ht="14.25" customHeight="1" s="148">
      <c r="B14" s="191" t="inlineStr">
        <is>
          <t>Simple P&amp;L</t>
        </is>
      </c>
      <c r="C14" s="192" t="n"/>
      <c r="D14" s="192" t="n"/>
      <c r="E14" s="174" t="n">
        <v>2018</v>
      </c>
      <c r="F14" s="174">
        <f>E14+1</f>
        <v/>
      </c>
      <c r="G14" s="174">
        <f>F14+1</f>
        <v/>
      </c>
      <c r="H14" s="174">
        <f>G14+1</f>
        <v/>
      </c>
      <c r="I14" s="174">
        <f>H14+1</f>
        <v/>
      </c>
      <c r="J14" s="174">
        <f>I14+1</f>
        <v/>
      </c>
      <c r="L14" s="178" t="inlineStr">
        <is>
          <t>EBITDA margin, base year</t>
        </is>
      </c>
      <c r="N14" s="186">
        <f>N6/N12</f>
        <v/>
      </c>
      <c r="O14" s="180" t="inlineStr">
        <is>
          <t>calc</t>
        </is>
      </c>
      <c r="P14" s="181" t="inlineStr">
        <is>
          <t>Derived</t>
        </is>
      </c>
    </row>
    <row r="15" ht="14.25" customHeight="1" s="148">
      <c r="B15" s="147" t="inlineStr">
        <is>
          <t>Revenue</t>
        </is>
      </c>
      <c r="E15" s="176">
        <f>N12</f>
        <v/>
      </c>
      <c r="F15" s="176">
        <f>E15+F16</f>
        <v/>
      </c>
      <c r="G15" s="176">
        <f>F15+G16</f>
        <v/>
      </c>
      <c r="H15" s="176">
        <f>G15+H16</f>
        <v/>
      </c>
      <c r="I15" s="176">
        <f>H15+I16</f>
        <v/>
      </c>
      <c r="J15" s="176">
        <f>I15+J16</f>
        <v/>
      </c>
      <c r="L15" s="178" t="inlineStr">
        <is>
          <t>D&amp;A p.a. ($m)</t>
        </is>
      </c>
      <c r="N15" s="190" t="n">
        <v>60</v>
      </c>
      <c r="O15" s="180" t="inlineStr">
        <is>
          <t>A</t>
        </is>
      </c>
      <c r="P15" s="181" t="inlineStr">
        <is>
          <t>3.0% of revenue, assumption</t>
        </is>
      </c>
    </row>
    <row r="16" ht="14.25" customHeight="1" s="148">
      <c r="B16" s="193" t="inlineStr">
        <is>
          <t>$ Incremental Revenue</t>
        </is>
      </c>
      <c r="F16" s="194">
        <f>N13</f>
        <v/>
      </c>
      <c r="G16" s="194">
        <f>F16</f>
        <v/>
      </c>
      <c r="H16" s="194">
        <f>G16</f>
        <v/>
      </c>
      <c r="I16" s="194">
        <f>H16</f>
        <v/>
      </c>
      <c r="J16" s="194">
        <f>I16</f>
        <v/>
      </c>
      <c r="L16" s="178" t="inlineStr">
        <is>
          <t>Capex p.a. ($m)</t>
        </is>
      </c>
      <c r="N16" s="190" t="n">
        <v>50</v>
      </c>
      <c r="O16" s="180" t="inlineStr">
        <is>
          <t>A</t>
        </is>
      </c>
      <c r="P16" s="181" t="inlineStr">
        <is>
          <t>Assumption</t>
        </is>
      </c>
    </row>
    <row r="17" ht="14.25" customHeight="1" s="148">
      <c r="L17" s="178" t="inlineStr">
        <is>
          <t>Change in NWC p.a. ($m, negative = investment)</t>
        </is>
      </c>
      <c r="N17" s="190" t="n">
        <v>0</v>
      </c>
      <c r="O17" s="180" t="inlineStr">
        <is>
          <t>A</t>
        </is>
      </c>
      <c r="P17" s="181" t="inlineStr">
        <is>
          <t>Assumed flat</t>
        </is>
      </c>
    </row>
    <row r="18" ht="14.25" customHeight="1" s="148">
      <c r="B18" s="147" t="inlineStr">
        <is>
          <t>EBITDA</t>
        </is>
      </c>
      <c r="E18" s="176">
        <f>E19*E15</f>
        <v/>
      </c>
      <c r="F18" s="176">
        <f>F19*F15</f>
        <v/>
      </c>
      <c r="G18" s="176">
        <f>G19*G15</f>
        <v/>
      </c>
      <c r="H18" s="176">
        <f>H19*H15</f>
        <v/>
      </c>
      <c r="I18" s="176">
        <f>I19*I15</f>
        <v/>
      </c>
      <c r="J18" s="176">
        <f>J19*J15</f>
        <v/>
      </c>
      <c r="L18" s="178" t="inlineStr">
        <is>
          <t>Exit multiple (x)</t>
        </is>
      </c>
      <c r="N18" s="184" t="n">
        <v>11.875</v>
      </c>
      <c r="O18" s="180" t="inlineStr">
        <is>
          <t>P</t>
        </is>
      </c>
      <c r="P18" s="181" t="inlineStr">
        <is>
          <t>$4,750m KKR price on ~$400m EBITDA</t>
        </is>
      </c>
    </row>
    <row r="19" ht="14.25" customHeight="1" s="148">
      <c r="B19" s="193" t="inlineStr">
        <is>
          <t>% margin</t>
        </is>
      </c>
      <c r="E19" s="196">
        <f>N14</f>
        <v/>
      </c>
      <c r="F19" s="196">
        <f>E19</f>
        <v/>
      </c>
      <c r="G19" s="196">
        <f>F19</f>
        <v/>
      </c>
      <c r="H19" s="196">
        <f>G19</f>
        <v/>
      </c>
      <c r="I19" s="196">
        <f>H19</f>
        <v/>
      </c>
      <c r="J19" s="196">
        <f>I19</f>
        <v/>
      </c>
      <c r="L19" s="178" t="inlineStr">
        <is>
          <t>Entry date</t>
        </is>
      </c>
      <c r="N19" s="197" t="n">
        <v>43312</v>
      </c>
      <c r="O19" s="180" t="inlineStr">
        <is>
          <t>F</t>
        </is>
      </c>
      <c r="P19" s="181" t="inlineStr">
        <is>
          <t>Closing date per filings</t>
        </is>
      </c>
    </row>
    <row r="20" ht="14.25" customHeight="1" s="148">
      <c r="L20" s="178" t="inlineStr">
        <is>
          <t>Underwritten exit date (5-year hold)</t>
        </is>
      </c>
      <c r="N20" s="198" t="n">
        <v>45135</v>
      </c>
      <c r="O20" s="180" t="inlineStr">
        <is>
          <t>A</t>
        </is>
      </c>
      <c r="P20" s="181" t="inlineStr">
        <is>
          <t>Template convention: five projection years</t>
        </is>
      </c>
    </row>
    <row r="21" ht="14.25" customHeight="1" s="148">
      <c r="B21" s="185" t="inlineStr">
        <is>
          <t>LFCF Build</t>
        </is>
      </c>
      <c r="L21" s="178" t="inlineStr">
        <is>
          <t>Actual exit / valuation date</t>
        </is>
      </c>
      <c r="N21" s="197" t="n">
        <v>45530</v>
      </c>
      <c r="O21" s="180" t="inlineStr">
        <is>
          <t>F</t>
        </is>
      </c>
      <c r="P21" s="181" t="inlineStr">
        <is>
          <t>Realised exit date per filings</t>
        </is>
      </c>
    </row>
    <row r="22" ht="14.25" customHeight="1" s="148">
      <c r="B22" s="147" t="inlineStr">
        <is>
          <t>EBITDA</t>
        </is>
      </c>
      <c r="E22" s="199" t="n"/>
      <c r="F22" s="199">
        <f>F18</f>
        <v/>
      </c>
      <c r="G22" s="199">
        <f>G18</f>
        <v/>
      </c>
      <c r="H22" s="199">
        <f>H18</f>
        <v/>
      </c>
      <c r="I22" s="199">
        <f>I18</f>
        <v/>
      </c>
      <c r="J22" s="199">
        <f>J18</f>
        <v/>
      </c>
    </row>
    <row r="23" ht="14.25" customHeight="1" s="148">
      <c r="B23" s="147" t="inlineStr">
        <is>
          <t>(-) D&amp;A</t>
        </is>
      </c>
      <c r="E23" s="199" t="n"/>
      <c r="F23" s="199">
        <f>-$N$15</f>
        <v/>
      </c>
      <c r="G23" s="199">
        <f>-$N$15</f>
        <v/>
      </c>
      <c r="H23" s="199">
        <f>-$N$15</f>
        <v/>
      </c>
      <c r="I23" s="199">
        <f>-$N$15</f>
        <v/>
      </c>
      <c r="J23" s="199">
        <f>-$N$15</f>
        <v/>
      </c>
    </row>
    <row r="24" ht="14.25" customHeight="1" s="148">
      <c r="B24" s="188" t="inlineStr">
        <is>
          <t>EBIT</t>
        </is>
      </c>
      <c r="C24" s="188" t="n"/>
      <c r="D24" s="188" t="n"/>
      <c r="E24" s="200" t="n"/>
      <c r="F24" s="200">
        <f>F22+F23</f>
        <v/>
      </c>
      <c r="G24" s="200">
        <f>G22+G23</f>
        <v/>
      </c>
      <c r="H24" s="200">
        <f>H22+H23</f>
        <v/>
      </c>
      <c r="I24" s="200">
        <f>I22+I23</f>
        <v/>
      </c>
      <c r="J24" s="200">
        <f>J22+J23</f>
        <v/>
      </c>
    </row>
    <row r="25" ht="14.25" customHeight="1" s="148">
      <c r="B25" s="147" t="inlineStr">
        <is>
          <t>(-) Cash Interest</t>
        </is>
      </c>
      <c r="D25" s="196">
        <f>N10</f>
        <v/>
      </c>
      <c r="E25" s="199" t="n"/>
      <c r="F25" s="199">
        <f>$E$12*-$D$25</f>
        <v/>
      </c>
      <c r="G25" s="199">
        <f>$E$12*-$D$25</f>
        <v/>
      </c>
      <c r="H25" s="199">
        <f>$E$12*-$D$25</f>
        <v/>
      </c>
      <c r="I25" s="199">
        <f>$E$12*-$D$25</f>
        <v/>
      </c>
      <c r="J25" s="199">
        <f>$E$12*-$D$25</f>
        <v/>
      </c>
    </row>
    <row r="26" ht="14.25" customHeight="1" s="148">
      <c r="B26" s="188" t="inlineStr">
        <is>
          <t>EBT</t>
        </is>
      </c>
      <c r="C26" s="188" t="n"/>
      <c r="D26" s="188" t="n"/>
      <c r="E26" s="200" t="n"/>
      <c r="F26" s="200">
        <f>F24+F25</f>
        <v/>
      </c>
      <c r="G26" s="200">
        <f>G24+G25</f>
        <v/>
      </c>
      <c r="H26" s="200">
        <f>H24+H25</f>
        <v/>
      </c>
      <c r="I26" s="200">
        <f>I24+I25</f>
        <v/>
      </c>
      <c r="J26" s="200">
        <f>J24+J25</f>
        <v/>
      </c>
    </row>
    <row r="27" ht="14.25" customHeight="1" s="148">
      <c r="B27" s="147" t="inlineStr">
        <is>
          <t>(-) Taxes</t>
        </is>
      </c>
      <c r="D27" s="196">
        <f>N11</f>
        <v/>
      </c>
      <c r="E27" s="199" t="n"/>
      <c r="F27" s="199">
        <f>F26*-$D27</f>
        <v/>
      </c>
      <c r="G27" s="199">
        <f>G26*-$D27</f>
        <v/>
      </c>
      <c r="H27" s="199">
        <f>H26*-$D27</f>
        <v/>
      </c>
      <c r="I27" s="199">
        <f>I26*-$D27</f>
        <v/>
      </c>
      <c r="J27" s="199">
        <f>J26*-$D27</f>
        <v/>
      </c>
    </row>
    <row r="28" ht="14.25" customHeight="1" s="148">
      <c r="B28" s="188" t="inlineStr">
        <is>
          <t>Net Income</t>
        </is>
      </c>
      <c r="C28" s="188" t="n"/>
      <c r="D28" s="188" t="n"/>
      <c r="E28" s="200" t="n"/>
      <c r="F28" s="200">
        <f>F26+F27</f>
        <v/>
      </c>
      <c r="G28" s="200">
        <f>G26+G27</f>
        <v/>
      </c>
      <c r="H28" s="200">
        <f>H26+H27</f>
        <v/>
      </c>
      <c r="I28" s="200">
        <f>I26+I27</f>
        <v/>
      </c>
      <c r="J28" s="200">
        <f>J26+J27</f>
        <v/>
      </c>
    </row>
    <row r="29" ht="14.25" customHeight="1" s="148">
      <c r="B29" s="147" t="inlineStr">
        <is>
          <t>(+) D&amp;A</t>
        </is>
      </c>
      <c r="E29" s="199" t="n"/>
      <c r="F29" s="199">
        <f>-F23</f>
        <v/>
      </c>
      <c r="G29" s="199">
        <f>-G23</f>
        <v/>
      </c>
      <c r="H29" s="199">
        <f>-H23</f>
        <v/>
      </c>
      <c r="I29" s="199">
        <f>-I23</f>
        <v/>
      </c>
      <c r="J29" s="199">
        <f>-J23</f>
        <v/>
      </c>
    </row>
    <row r="30" ht="14.25" customHeight="1" s="148">
      <c r="B30" s="147" t="inlineStr">
        <is>
          <t>(-) Capex</t>
        </is>
      </c>
      <c r="E30" s="199" t="n"/>
      <c r="F30" s="199">
        <f>-$N$16</f>
        <v/>
      </c>
      <c r="G30" s="199">
        <f>-$N$16</f>
        <v/>
      </c>
      <c r="H30" s="199">
        <f>-$N$16</f>
        <v/>
      </c>
      <c r="I30" s="199">
        <f>-$N$16</f>
        <v/>
      </c>
      <c r="J30" s="199">
        <f>-$N$16</f>
        <v/>
      </c>
    </row>
    <row r="31" ht="14.25" customHeight="1" s="148">
      <c r="B31" s="147" t="inlineStr">
        <is>
          <t>(-) Change in NWC</t>
        </is>
      </c>
      <c r="E31" s="199" t="n"/>
      <c r="F31" s="199">
        <f>$N$17</f>
        <v/>
      </c>
      <c r="G31" s="199">
        <f>$N$17</f>
        <v/>
      </c>
      <c r="H31" s="199">
        <f>$N$17</f>
        <v/>
      </c>
      <c r="I31" s="199">
        <f>$N$17</f>
        <v/>
      </c>
      <c r="J31" s="199">
        <f>$N$17</f>
        <v/>
      </c>
    </row>
    <row r="32" ht="14.25" customHeight="1" s="148">
      <c r="B32" s="188" t="inlineStr">
        <is>
          <t>Levered FCF</t>
        </is>
      </c>
      <c r="C32" s="188" t="n"/>
      <c r="D32" s="188" t="n"/>
      <c r="E32" s="200" t="n"/>
      <c r="F32" s="200">
        <f>SUM(F28:F31)</f>
        <v/>
      </c>
      <c r="G32" s="200">
        <f>SUM(G28:G31)</f>
        <v/>
      </c>
      <c r="H32" s="200">
        <f>SUM(H28:H31)</f>
        <v/>
      </c>
      <c r="I32" s="200">
        <f>SUM(I28:I31)</f>
        <v/>
      </c>
      <c r="J32" s="200">
        <f>SUM(J28:J31)</f>
        <v/>
      </c>
    </row>
    <row r="33" ht="14.25" customHeight="1" s="148">
      <c r="B33" s="193" t="inlineStr">
        <is>
          <t>Cumulative LFCF</t>
        </is>
      </c>
      <c r="E33" s="199" t="n"/>
      <c r="F33" s="201">
        <f>SUM($E32:F32)</f>
        <v/>
      </c>
      <c r="G33" s="201">
        <f>SUM($E32:G32)</f>
        <v/>
      </c>
      <c r="H33" s="201">
        <f>SUM($E32:H32)</f>
        <v/>
      </c>
      <c r="I33" s="201">
        <f>SUM($E32:I32)</f>
        <v/>
      </c>
      <c r="J33" s="201">
        <f>SUM($E32:J32)</f>
        <v/>
      </c>
    </row>
    <row r="35" ht="14.25" customHeight="1" s="148">
      <c r="B35" s="191" t="inlineStr">
        <is>
          <t>Returns — UNDERWRITTEN CASE (template mechanics: interest on opening debt, all LFCF accumulates as cash)</t>
        </is>
      </c>
      <c r="C35" s="192" t="n"/>
      <c r="D35" s="192" t="n"/>
      <c r="E35" s="174" t="n"/>
      <c r="F35" s="174" t="n"/>
      <c r="G35" s="174" t="n"/>
      <c r="H35" s="174" t="n"/>
      <c r="I35" s="174" t="n"/>
      <c r="J35" s="174" t="n"/>
    </row>
    <row r="37" ht="14.25" customHeight="1" s="148">
      <c r="B37" s="147" t="inlineStr">
        <is>
          <t>Exit EBITDA (2023)</t>
        </is>
      </c>
      <c r="E37" s="199">
        <f>J18</f>
        <v/>
      </c>
    </row>
    <row r="38" ht="14.25" customHeight="1" s="148">
      <c r="B38" s="147" t="inlineStr">
        <is>
          <t>(x) Exit Multiple</t>
        </is>
      </c>
      <c r="E38" s="164">
        <f>N18</f>
        <v/>
      </c>
    </row>
    <row r="39" ht="14.25" customHeight="1" s="148">
      <c r="B39" s="202" t="inlineStr">
        <is>
          <t>Enterprise Value</t>
        </is>
      </c>
      <c r="C39" s="202" t="n"/>
      <c r="D39" s="202" t="n"/>
      <c r="E39" s="203">
        <f>E37*E38</f>
        <v/>
      </c>
    </row>
    <row r="40" ht="14.25" customHeight="1" s="148">
      <c r="B40" s="147" t="inlineStr">
        <is>
          <t>(-) Debt</t>
        </is>
      </c>
      <c r="E40" s="199">
        <f>-E12</f>
        <v/>
      </c>
    </row>
    <row r="41" ht="14.25" customHeight="1" s="148">
      <c r="B41" s="147" t="inlineStr">
        <is>
          <t>(+) Cash</t>
        </is>
      </c>
      <c r="E41" s="199">
        <f>J33</f>
        <v/>
      </c>
    </row>
    <row r="42" ht="14.25" customHeight="1" s="148">
      <c r="B42" s="202" t="inlineStr">
        <is>
          <t>Equity Value at Exit</t>
        </is>
      </c>
      <c r="C42" s="202" t="n"/>
      <c r="D42" s="202" t="n"/>
      <c r="E42" s="203">
        <f>SUM(E39:E41)</f>
        <v/>
      </c>
    </row>
    <row r="43" ht="14.25" customHeight="1" s="148">
      <c r="B43" s="147" t="inlineStr">
        <is>
          <t xml:space="preserve">Initial Equity Investment </t>
        </is>
      </c>
      <c r="E43" s="199">
        <f>E6</f>
        <v/>
      </c>
    </row>
    <row r="45" ht="14.25" customHeight="1" s="148">
      <c r="B45" s="147" t="inlineStr">
        <is>
          <t>MoM</t>
        </is>
      </c>
      <c r="E45" s="164">
        <f>E42/E43</f>
        <v/>
      </c>
    </row>
    <row r="46" ht="14.25" customHeight="1" s="148">
      <c r="B46" s="147" t="inlineStr">
        <is>
          <t>IRR</t>
        </is>
      </c>
      <c r="E46" s="177">
        <f>XIRR(E48:E49,B48:B49)</f>
        <v/>
      </c>
    </row>
    <row r="48" ht="14.25" customHeight="1" s="148">
      <c r="B48" s="204">
        <f>N19</f>
        <v/>
      </c>
      <c r="E48" s="199">
        <f>-E6</f>
        <v/>
      </c>
    </row>
    <row r="49" ht="14.25" customHeight="1" s="148">
      <c r="B49" s="204">
        <f>N20</f>
        <v/>
      </c>
      <c r="E49" s="199">
        <f>E42</f>
        <v/>
      </c>
    </row>
    <row r="52" ht="14.25" customHeight="1" s="148">
      <c r="B52" s="205" t="inlineStr">
        <is>
          <t>ACTUAL OUTCOME</t>
        </is>
      </c>
      <c r="C52" s="206" t="n"/>
      <c r="D52" s="206" t="n"/>
      <c r="E52" s="206" t="n"/>
      <c r="F52" s="206" t="n"/>
      <c r="G52" s="206" t="n"/>
      <c r="H52" s="206" t="n"/>
      <c r="I52" s="206" t="n"/>
      <c r="J52" s="206" t="n"/>
    </row>
    <row r="53" ht="14.25" customHeight="1" s="148">
      <c r="B53" s="207" t="inlineStr">
        <is>
          <t>Exit enterprise value, actual ($m)</t>
        </is>
      </c>
      <c r="E53" s="208" t="n">
        <v>4750</v>
      </c>
    </row>
    <row r="54" ht="14.25" customHeight="1" s="148">
      <c r="B54" s="207" t="inlineStr">
        <is>
          <t>Debt at exit ($m)</t>
        </is>
      </c>
      <c r="E54" s="208" t="n">
        <v>2447</v>
      </c>
    </row>
    <row r="55" ht="14.25" customHeight="1" s="148">
      <c r="B55" s="207" t="inlineStr">
        <is>
          <t>Equity value at exit ($m)</t>
        </is>
      </c>
      <c r="E55" s="165">
        <f>E53-E54</f>
        <v/>
      </c>
    </row>
    <row r="56" ht="14.25" customHeight="1" s="148">
      <c r="B56" s="207" t="inlineStr">
        <is>
          <t>Equity invested (from Sources) ($m)</t>
        </is>
      </c>
      <c r="E56" s="165">
        <f>E6</f>
        <v/>
      </c>
    </row>
    <row r="57" ht="14.25" customHeight="1" s="148">
      <c r="B57" s="207" t="inlineStr">
        <is>
          <t>MoM, actual</t>
        </is>
      </c>
      <c r="E57" s="164">
        <f>E55/E56</f>
        <v/>
      </c>
    </row>
    <row r="58" ht="14.25" customHeight="1" s="148">
      <c r="B58" s="207" t="inlineStr">
        <is>
          <t>IRR, actual</t>
        </is>
      </c>
      <c r="E58" s="209">
        <f>IFERROR(XIRR(E62:E63,B62:B63),"n/m")</f>
        <v/>
      </c>
    </row>
    <row r="59" ht="14.25" customHeight="1" s="148">
      <c r="B59" s="207" t="inlineStr">
        <is>
          <t>MoM variance vs underwritten</t>
        </is>
      </c>
      <c r="E59" s="164">
        <f>E57-E45</f>
        <v/>
      </c>
    </row>
    <row r="60" ht="14.25" customHeight="1" s="148">
      <c r="B60" s="207" t="inlineStr">
        <is>
          <t>IRR variance vs underwritten (pts)</t>
        </is>
      </c>
      <c r="E60" s="165">
        <f>IFERROR((E58-E46)*100,"n/m")</f>
        <v/>
      </c>
    </row>
    <row r="62" ht="14.25" customHeight="1" s="148">
      <c r="B62" s="204">
        <f>N19</f>
        <v/>
      </c>
      <c r="E62" s="147">
        <f>-E6</f>
        <v/>
      </c>
      <c r="G62" s="155" t="inlineStr">
        <is>
          <t>cash flows for XIRR (actual)</t>
        </is>
      </c>
    </row>
    <row r="63" ht="14.25" customHeight="1" s="148">
      <c r="B63" s="204">
        <f>N21</f>
        <v/>
      </c>
      <c r="E63" s="165">
        <f>E55</f>
        <v/>
      </c>
    </row>
    <row r="65" ht="14.25" customHeight="1" s="148">
      <c r="B65" s="163" t="inlineStr">
        <is>
          <t>Actual outcome note:</t>
        </is>
      </c>
    </row>
    <row r="66" ht="14.25" customHeight="1" s="148">
      <c r="B66" s="151" t="inlineStr">
        <is>
          <t>Exit debt = $1,132m 1L TL + $450m 1L notes + $620m 2L + ~$245m ABL drawn (LCD; Moody's Nov-2023). Equity in = EV $2,900m + fees less $1,990m debt. Charlesbank rolled a minority; Herff Jones graduation sold Oct-2023 for an undisclosed sum, not credited here.</t>
        </is>
      </c>
    </row>
    <row r="67" ht="14.25" customHeight="1" s="148"/>
    <row r="68" ht="14.25" customHeight="1" s="148"/>
    <row r="69" ht="14.25" customHeight="1" s="148"/>
    <row r="71" ht="14.25" customHeight="1" s="148">
      <c r="B71" s="163" t="inlineStr">
        <is>
          <t>Deal note:</t>
        </is>
      </c>
    </row>
    <row r="72" ht="14.25" customHeight="1" s="148">
      <c r="B72" s="151" t="inlineStr">
        <is>
          <t>Leverage never came down: Moody's had it at 7.7x (2019), 8.6x (2022), 6.9x (mid-2023). The return came almost entirely from EBITDA growth and the exit multiple, not deleveraging.</t>
        </is>
      </c>
    </row>
    <row r="73" ht="14.25" customHeight="1" s="148"/>
    <row r="74" ht="14.25" customHeight="1" s="148"/>
    <row r="75" ht="14.25" customHeight="1" s="148"/>
    <row r="77" ht="14.25" customHeight="1" s="148">
      <c r="B77" s="155" t="inlineStr">
        <is>
          <t>Classification: Secondary buyout  |  Status: Realised Aug-2024</t>
        </is>
      </c>
    </row>
  </sheetData>
  <mergeCells count="5">
    <mergeCell ref="B4:E4"/>
    <mergeCell ref="G4:J4"/>
    <mergeCell ref="B66:J69"/>
    <mergeCell ref="B72:J75"/>
    <mergeCell ref="B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44546A"/>
    <outlinePr summaryBelow="1" summaryRight="1"/>
    <pageSetUpPr fitToPage="0"/>
  </sheetPr>
  <dimension ref="B2:P77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.45" customWidth="1" style="147" min="2" max="2"/>
    <col width="10.45" customWidth="1" style="147" min="6" max="6"/>
    <col width="30" customWidth="1" style="147" min="12" max="12"/>
    <col width="3" customWidth="1" style="147" min="13" max="13"/>
    <col width="14" customWidth="1" style="147" min="14" max="14"/>
    <col width="6" customWidth="1" style="147" min="15" max="15"/>
    <col width="70" customWidth="1" style="147" min="16" max="16"/>
  </cols>
  <sheetData>
    <row r="2" ht="17.35" customHeight="1" s="148">
      <c r="B2" s="173" t="inlineStr">
        <is>
          <t>Charlesbank + Partners Group / Varsity Brands (2014-18) — Paper LBO</t>
        </is>
      </c>
    </row>
    <row r="4" ht="14.25" customHeight="1" s="148">
      <c r="B4" s="174" t="inlineStr">
        <is>
          <t>Sources</t>
        </is>
      </c>
      <c r="G4" s="174" t="inlineStr">
        <is>
          <t>Uses</t>
        </is>
      </c>
      <c r="L4" s="175" t="inlineStr">
        <is>
          <t>INPUTS</t>
        </is>
      </c>
      <c r="N4" s="175" t="inlineStr">
        <is>
          <t>Value</t>
        </is>
      </c>
      <c r="O4" s="175" t="inlineStr">
        <is>
          <t>Tag</t>
        </is>
      </c>
      <c r="P4" s="175" t="inlineStr">
        <is>
          <t>Source  (F = filed / rating agency, P = press, A = assumption; blue = assumption)</t>
        </is>
      </c>
    </row>
    <row r="5" ht="14.25" customHeight="1" s="148">
      <c r="B5" s="147" t="inlineStr">
        <is>
          <t>Debt</t>
        </is>
      </c>
      <c r="E5" s="176">
        <f>E12</f>
        <v/>
      </c>
      <c r="F5" s="177" t="n"/>
      <c r="G5" s="147" t="inlineStr">
        <is>
          <t>Purchase Price</t>
        </is>
      </c>
      <c r="J5" s="176">
        <f>J12</f>
        <v/>
      </c>
      <c r="L5" s="178" t="inlineStr">
        <is>
          <t>Entry enterprise value ($m)</t>
        </is>
      </c>
      <c r="N5" s="179" t="n">
        <v>1500</v>
      </c>
      <c r="O5" s="180" t="inlineStr">
        <is>
          <t>P</t>
        </is>
      </c>
      <c r="P5" s="181" t="inlineStr">
        <is>
          <t>Charlesbank site / CNBC '~$1.5bn'</t>
        </is>
      </c>
    </row>
    <row r="6" ht="14.25" customHeight="1" s="148">
      <c r="B6" s="147" t="inlineStr">
        <is>
          <t>Equity (plug)</t>
        </is>
      </c>
      <c r="E6" s="176">
        <f>E7-E5</f>
        <v/>
      </c>
      <c r="L6" s="178" t="inlineStr">
        <is>
          <t>Entry EBITDA, LTM ($m)</t>
        </is>
      </c>
      <c r="N6" s="190" t="n">
        <v>155</v>
      </c>
      <c r="O6" s="180" t="inlineStr">
        <is>
          <t>A</t>
        </is>
      </c>
      <c r="P6" s="181" t="inlineStr">
        <is>
          <t>Assumption: ~9.7x entry on $1.5bn; B2 CFR at 6.5x leverage</t>
        </is>
      </c>
    </row>
    <row r="7" ht="14.25" customHeight="1" s="148">
      <c r="B7" s="182" t="inlineStr">
        <is>
          <t>Total Sources</t>
        </is>
      </c>
      <c r="C7" s="182" t="n"/>
      <c r="D7" s="182" t="n"/>
      <c r="E7" s="183">
        <f>J7</f>
        <v/>
      </c>
      <c r="G7" s="182" t="inlineStr">
        <is>
          <t>Total Uses</t>
        </is>
      </c>
      <c r="H7" s="182" t="n"/>
      <c r="I7" s="182" t="n"/>
      <c r="J7" s="183">
        <f>J5</f>
        <v/>
      </c>
      <c r="L7" s="178" t="inlineStr">
        <is>
          <t>Entry multiple (x)</t>
        </is>
      </c>
      <c r="N7" s="184">
        <f>N5/N6</f>
        <v/>
      </c>
      <c r="O7" s="180" t="inlineStr">
        <is>
          <t>calc</t>
        </is>
      </c>
      <c r="P7" s="181" t="inlineStr">
        <is>
          <t>Derived</t>
        </is>
      </c>
    </row>
    <row r="8" ht="14.25" customHeight="1" s="148">
      <c r="L8" s="178" t="inlineStr">
        <is>
          <t>Debt raised ($m)</t>
        </is>
      </c>
      <c r="N8" s="190" t="n">
        <v>1000</v>
      </c>
      <c r="O8" s="180" t="inlineStr">
        <is>
          <t>A</t>
        </is>
      </c>
      <c r="P8" s="181" t="inlineStr">
        <is>
          <t>Assumption: 1L (L+500, 1% floor) ~$700m + 2L (L+875) ~$300m; Ares held $175m of 2L par</t>
        </is>
      </c>
    </row>
    <row r="9" ht="14.25" customHeight="1" s="148">
      <c r="B9" s="185" t="inlineStr">
        <is>
          <t>Build to Debt</t>
        </is>
      </c>
      <c r="G9" s="185" t="inlineStr">
        <is>
          <t>Build to Purchase Price</t>
        </is>
      </c>
      <c r="L9" s="178" t="inlineStr">
        <is>
          <t>Leverage (x EBITDA)</t>
        </is>
      </c>
      <c r="N9" s="184">
        <f>N8/N6</f>
        <v/>
      </c>
      <c r="O9" s="180" t="inlineStr">
        <is>
          <t>calc</t>
        </is>
      </c>
      <c r="P9" s="181" t="inlineStr">
        <is>
          <t>Derived</t>
        </is>
      </c>
    </row>
    <row r="10" ht="14.25" customHeight="1" s="148">
      <c r="B10" s="147" t="inlineStr">
        <is>
          <t>2014 EBITDA (LTM)</t>
        </is>
      </c>
      <c r="E10" s="176">
        <f>E18</f>
        <v/>
      </c>
      <c r="G10" s="147" t="inlineStr">
        <is>
          <t>2014 EBITDA (LTM)</t>
        </is>
      </c>
      <c r="J10" s="176">
        <f>E18</f>
        <v/>
      </c>
      <c r="L10" s="178" t="inlineStr">
        <is>
          <t>Blended cash interest rate</t>
        </is>
      </c>
      <c r="N10" s="186" t="n">
        <v>0.0713</v>
      </c>
      <c r="O10" s="180" t="inlineStr">
        <is>
          <t>F</t>
        </is>
      </c>
      <c r="P10" s="181" t="inlineStr">
        <is>
          <t>1L 6.00% and 2L 9.75% (BDC filings), blended 70/30</t>
        </is>
      </c>
    </row>
    <row r="11" ht="14.25" customHeight="1" s="148">
      <c r="B11" s="147" t="inlineStr">
        <is>
          <t>(x) Leverage</t>
        </is>
      </c>
      <c r="E11" s="164">
        <f>N9</f>
        <v/>
      </c>
      <c r="G11" s="147" t="inlineStr">
        <is>
          <t>(x) Multiple of 2023 EBITDA</t>
        </is>
      </c>
      <c r="J11" s="164">
        <f>N7</f>
        <v/>
      </c>
      <c r="L11" s="178" t="inlineStr">
        <is>
          <t>Tax rate</t>
        </is>
      </c>
      <c r="N11" s="187" t="n">
        <v>0.3</v>
      </c>
      <c r="O11" s="180" t="inlineStr">
        <is>
          <t>A</t>
        </is>
      </c>
      <c r="P11" s="181" t="inlineStr">
        <is>
          <t>Assumption</t>
        </is>
      </c>
    </row>
    <row r="12" ht="14.25" customHeight="1" s="148">
      <c r="B12" s="188" t="inlineStr">
        <is>
          <t>Debt</t>
        </is>
      </c>
      <c r="C12" s="188" t="n"/>
      <c r="D12" s="188" t="n"/>
      <c r="E12" s="189">
        <f>E10*E11</f>
        <v/>
      </c>
      <c r="G12" s="188" t="inlineStr">
        <is>
          <t>Purchase Price</t>
        </is>
      </c>
      <c r="H12" s="188" t="n"/>
      <c r="I12" s="188" t="n"/>
      <c r="J12" s="189">
        <f>J10*J11</f>
        <v/>
      </c>
      <c r="L12" s="178" t="inlineStr">
        <is>
          <t>Base-year revenue ($m)</t>
        </is>
      </c>
      <c r="N12" s="179" t="n">
        <v>1200</v>
      </c>
      <c r="O12" s="180" t="inlineStr">
        <is>
          <t>F</t>
        </is>
      </c>
      <c r="P12" s="181" t="inlineStr">
        <is>
          <t>Company release: 'combined sales in excess of $1.2 billion'</t>
        </is>
      </c>
    </row>
    <row r="13" ht="14.25" customHeight="1" s="148">
      <c r="L13" s="178" t="inlineStr">
        <is>
          <t>Incremental revenue p.a. ($m)</t>
        </is>
      </c>
      <c r="N13" s="190" t="n">
        <v>80</v>
      </c>
      <c r="O13" s="180" t="inlineStr">
        <is>
          <t>A</t>
        </is>
      </c>
      <c r="P13" s="181" t="inlineStr">
        <is>
          <t>~6.5% p.a., assumption</t>
        </is>
      </c>
    </row>
    <row r="14" ht="14.25" customHeight="1" s="148">
      <c r="B14" s="191" t="inlineStr">
        <is>
          <t>Simple P&amp;L</t>
        </is>
      </c>
      <c r="C14" s="192" t="n"/>
      <c r="D14" s="192" t="n"/>
      <c r="E14" s="174" t="n">
        <v>2014</v>
      </c>
      <c r="F14" s="174">
        <f>E14+1</f>
        <v/>
      </c>
      <c r="G14" s="174">
        <f>F14+1</f>
        <v/>
      </c>
      <c r="H14" s="174">
        <f>G14+1</f>
        <v/>
      </c>
      <c r="I14" s="174">
        <f>H14+1</f>
        <v/>
      </c>
      <c r="J14" s="174">
        <f>I14+1</f>
        <v/>
      </c>
      <c r="L14" s="178" t="inlineStr">
        <is>
          <t>EBITDA margin, base year</t>
        </is>
      </c>
      <c r="N14" s="186">
        <f>N6/N12</f>
        <v/>
      </c>
      <c r="O14" s="180" t="inlineStr">
        <is>
          <t>calc</t>
        </is>
      </c>
      <c r="P14" s="181" t="inlineStr">
        <is>
          <t>Derived</t>
        </is>
      </c>
    </row>
    <row r="15" ht="14.25" customHeight="1" s="148">
      <c r="B15" s="147" t="inlineStr">
        <is>
          <t>Revenue</t>
        </is>
      </c>
      <c r="E15" s="176">
        <f>N12</f>
        <v/>
      </c>
      <c r="F15" s="176">
        <f>E15+F16</f>
        <v/>
      </c>
      <c r="G15" s="176">
        <f>F15+G16</f>
        <v/>
      </c>
      <c r="H15" s="176">
        <f>G15+H16</f>
        <v/>
      </c>
      <c r="I15" s="176">
        <f>H15+I16</f>
        <v/>
      </c>
      <c r="J15" s="176">
        <f>I15+J16</f>
        <v/>
      </c>
      <c r="L15" s="178" t="inlineStr">
        <is>
          <t>D&amp;A p.a. ($m)</t>
        </is>
      </c>
      <c r="N15" s="190" t="n">
        <v>36</v>
      </c>
      <c r="O15" s="180" t="inlineStr">
        <is>
          <t>A</t>
        </is>
      </c>
      <c r="P15" s="181" t="inlineStr">
        <is>
          <t>3.0% of revenue, assumption</t>
        </is>
      </c>
    </row>
    <row r="16" ht="14.25" customHeight="1" s="148">
      <c r="B16" s="193" t="inlineStr">
        <is>
          <t>$ Incremental Revenue</t>
        </is>
      </c>
      <c r="F16" s="194">
        <f>N13</f>
        <v/>
      </c>
      <c r="G16" s="194">
        <f>F16</f>
        <v/>
      </c>
      <c r="H16" s="194">
        <f>G16</f>
        <v/>
      </c>
      <c r="I16" s="194">
        <f>H16</f>
        <v/>
      </c>
      <c r="J16" s="194">
        <f>I16</f>
        <v/>
      </c>
      <c r="L16" s="178" t="inlineStr">
        <is>
          <t>Capex p.a. ($m)</t>
        </is>
      </c>
      <c r="N16" s="190" t="n">
        <v>30</v>
      </c>
      <c r="O16" s="180" t="inlineStr">
        <is>
          <t>A</t>
        </is>
      </c>
      <c r="P16" s="181" t="inlineStr">
        <is>
          <t>Assumption</t>
        </is>
      </c>
    </row>
    <row r="17" ht="14.25" customHeight="1" s="148">
      <c r="L17" s="178" t="inlineStr">
        <is>
          <t>Change in NWC p.a. ($m, negative = investment)</t>
        </is>
      </c>
      <c r="N17" s="190" t="n">
        <v>0</v>
      </c>
      <c r="O17" s="180" t="inlineStr">
        <is>
          <t>A</t>
        </is>
      </c>
      <c r="P17" s="181" t="inlineStr">
        <is>
          <t>Assumed flat</t>
        </is>
      </c>
    </row>
    <row r="18" ht="14.25" customHeight="1" s="148">
      <c r="B18" s="147" t="inlineStr">
        <is>
          <t>EBITDA</t>
        </is>
      </c>
      <c r="E18" s="176">
        <f>E19*E15</f>
        <v/>
      </c>
      <c r="F18" s="176">
        <f>F19*F15</f>
        <v/>
      </c>
      <c r="G18" s="176">
        <f>G19*G15</f>
        <v/>
      </c>
      <c r="H18" s="176">
        <f>H19*H15</f>
        <v/>
      </c>
      <c r="I18" s="176">
        <f>I19*I15</f>
        <v/>
      </c>
      <c r="J18" s="176">
        <f>J19*J15</f>
        <v/>
      </c>
      <c r="L18" s="178" t="inlineStr">
        <is>
          <t>Exit multiple (x)</t>
        </is>
      </c>
      <c r="N18" s="195" t="n">
        <v>10</v>
      </c>
      <c r="O18" s="180" t="inlineStr">
        <is>
          <t>A</t>
        </is>
      </c>
      <c r="P18" s="181" t="inlineStr">
        <is>
          <t>$2.9bn Bain EV on ~$290m EBITDA (assumption)</t>
        </is>
      </c>
    </row>
    <row r="19" ht="14.25" customHeight="1" s="148">
      <c r="B19" s="193" t="inlineStr">
        <is>
          <t>% margin</t>
        </is>
      </c>
      <c r="E19" s="196">
        <f>N14</f>
        <v/>
      </c>
      <c r="F19" s="196">
        <f>E19</f>
        <v/>
      </c>
      <c r="G19" s="196">
        <f>F19</f>
        <v/>
      </c>
      <c r="H19" s="196">
        <f>G19</f>
        <v/>
      </c>
      <c r="I19" s="196">
        <f>H19</f>
        <v/>
      </c>
      <c r="J19" s="196">
        <f>I19</f>
        <v/>
      </c>
      <c r="L19" s="178" t="inlineStr">
        <is>
          <t>Entry date</t>
        </is>
      </c>
      <c r="N19" s="197" t="n">
        <v>41988</v>
      </c>
      <c r="O19" s="180" t="inlineStr">
        <is>
          <t>F</t>
        </is>
      </c>
      <c r="P19" s="181" t="inlineStr">
        <is>
          <t>Closing date per filings</t>
        </is>
      </c>
    </row>
    <row r="20" ht="14.25" customHeight="1" s="148">
      <c r="L20" s="178" t="inlineStr">
        <is>
          <t>Underwritten exit date (5-year hold)</t>
        </is>
      </c>
      <c r="N20" s="198" t="n">
        <v>43814</v>
      </c>
      <c r="O20" s="180" t="inlineStr">
        <is>
          <t>A</t>
        </is>
      </c>
      <c r="P20" s="181" t="inlineStr">
        <is>
          <t>Template convention: five projection years</t>
        </is>
      </c>
    </row>
    <row r="21" ht="14.25" customHeight="1" s="148">
      <c r="B21" s="185" t="inlineStr">
        <is>
          <t>LFCF Build</t>
        </is>
      </c>
      <c r="L21" s="178" t="inlineStr">
        <is>
          <t>Actual exit / valuation date</t>
        </is>
      </c>
      <c r="N21" s="197" t="n">
        <v>43312</v>
      </c>
      <c r="O21" s="180" t="inlineStr">
        <is>
          <t>F</t>
        </is>
      </c>
      <c r="P21" s="181" t="inlineStr">
        <is>
          <t>Realised exit date per filings</t>
        </is>
      </c>
    </row>
    <row r="22" ht="14.25" customHeight="1" s="148">
      <c r="B22" s="147" t="inlineStr">
        <is>
          <t>EBITDA</t>
        </is>
      </c>
      <c r="E22" s="199" t="n"/>
      <c r="F22" s="199">
        <f>F18</f>
        <v/>
      </c>
      <c r="G22" s="199">
        <f>G18</f>
        <v/>
      </c>
      <c r="H22" s="199">
        <f>H18</f>
        <v/>
      </c>
      <c r="I22" s="199">
        <f>I18</f>
        <v/>
      </c>
      <c r="J22" s="199">
        <f>J18</f>
        <v/>
      </c>
    </row>
    <row r="23" ht="14.25" customHeight="1" s="148">
      <c r="B23" s="147" t="inlineStr">
        <is>
          <t>(-) D&amp;A</t>
        </is>
      </c>
      <c r="E23" s="199" t="n"/>
      <c r="F23" s="199">
        <f>-$N$15</f>
        <v/>
      </c>
      <c r="G23" s="199">
        <f>-$N$15</f>
        <v/>
      </c>
      <c r="H23" s="199">
        <f>-$N$15</f>
        <v/>
      </c>
      <c r="I23" s="199">
        <f>-$N$15</f>
        <v/>
      </c>
      <c r="J23" s="199">
        <f>-$N$15</f>
        <v/>
      </c>
    </row>
    <row r="24" ht="14.25" customHeight="1" s="148">
      <c r="B24" s="188" t="inlineStr">
        <is>
          <t>EBIT</t>
        </is>
      </c>
      <c r="C24" s="188" t="n"/>
      <c r="D24" s="188" t="n"/>
      <c r="E24" s="200" t="n"/>
      <c r="F24" s="200">
        <f>F22+F23</f>
        <v/>
      </c>
      <c r="G24" s="200">
        <f>G22+G23</f>
        <v/>
      </c>
      <c r="H24" s="200">
        <f>H22+H23</f>
        <v/>
      </c>
      <c r="I24" s="200">
        <f>I22+I23</f>
        <v/>
      </c>
      <c r="J24" s="200">
        <f>J22+J23</f>
        <v/>
      </c>
    </row>
    <row r="25" ht="14.25" customHeight="1" s="148">
      <c r="B25" s="147" t="inlineStr">
        <is>
          <t>(-) Cash Interest</t>
        </is>
      </c>
      <c r="D25" s="196">
        <f>N10</f>
        <v/>
      </c>
      <c r="E25" s="199" t="n"/>
      <c r="F25" s="199">
        <f>$E$12*-$D$25</f>
        <v/>
      </c>
      <c r="G25" s="199">
        <f>$E$12*-$D$25</f>
        <v/>
      </c>
      <c r="H25" s="199">
        <f>$E$12*-$D$25</f>
        <v/>
      </c>
      <c r="I25" s="199">
        <f>$E$12*-$D$25</f>
        <v/>
      </c>
      <c r="J25" s="199">
        <f>$E$12*-$D$25</f>
        <v/>
      </c>
    </row>
    <row r="26" ht="14.25" customHeight="1" s="148">
      <c r="B26" s="188" t="inlineStr">
        <is>
          <t>EBT</t>
        </is>
      </c>
      <c r="C26" s="188" t="n"/>
      <c r="D26" s="188" t="n"/>
      <c r="E26" s="200" t="n"/>
      <c r="F26" s="200">
        <f>F24+F25</f>
        <v/>
      </c>
      <c r="G26" s="200">
        <f>G24+G25</f>
        <v/>
      </c>
      <c r="H26" s="200">
        <f>H24+H25</f>
        <v/>
      </c>
      <c r="I26" s="200">
        <f>I24+I25</f>
        <v/>
      </c>
      <c r="J26" s="200">
        <f>J24+J25</f>
        <v/>
      </c>
    </row>
    <row r="27" ht="14.25" customHeight="1" s="148">
      <c r="B27" s="147" t="inlineStr">
        <is>
          <t>(-) Taxes</t>
        </is>
      </c>
      <c r="D27" s="196">
        <f>N11</f>
        <v/>
      </c>
      <c r="E27" s="199" t="n"/>
      <c r="F27" s="199">
        <f>F26*-$D27</f>
        <v/>
      </c>
      <c r="G27" s="199">
        <f>G26*-$D27</f>
        <v/>
      </c>
      <c r="H27" s="199">
        <f>H26*-$D27</f>
        <v/>
      </c>
      <c r="I27" s="199">
        <f>I26*-$D27</f>
        <v/>
      </c>
      <c r="J27" s="199">
        <f>J26*-$D27</f>
        <v/>
      </c>
    </row>
    <row r="28" ht="14.25" customHeight="1" s="148">
      <c r="B28" s="188" t="inlineStr">
        <is>
          <t>Net Income</t>
        </is>
      </c>
      <c r="C28" s="188" t="n"/>
      <c r="D28" s="188" t="n"/>
      <c r="E28" s="200" t="n"/>
      <c r="F28" s="200">
        <f>F26+F27</f>
        <v/>
      </c>
      <c r="G28" s="200">
        <f>G26+G27</f>
        <v/>
      </c>
      <c r="H28" s="200">
        <f>H26+H27</f>
        <v/>
      </c>
      <c r="I28" s="200">
        <f>I26+I27</f>
        <v/>
      </c>
      <c r="J28" s="200">
        <f>J26+J27</f>
        <v/>
      </c>
    </row>
    <row r="29" ht="14.25" customHeight="1" s="148">
      <c r="B29" s="147" t="inlineStr">
        <is>
          <t>(+) D&amp;A</t>
        </is>
      </c>
      <c r="E29" s="199" t="n"/>
      <c r="F29" s="199">
        <f>-F23</f>
        <v/>
      </c>
      <c r="G29" s="199">
        <f>-G23</f>
        <v/>
      </c>
      <c r="H29" s="199">
        <f>-H23</f>
        <v/>
      </c>
      <c r="I29" s="199">
        <f>-I23</f>
        <v/>
      </c>
      <c r="J29" s="199">
        <f>-J23</f>
        <v/>
      </c>
    </row>
    <row r="30" ht="14.25" customHeight="1" s="148">
      <c r="B30" s="147" t="inlineStr">
        <is>
          <t>(-) Capex</t>
        </is>
      </c>
      <c r="E30" s="199" t="n"/>
      <c r="F30" s="199">
        <f>-$N$16</f>
        <v/>
      </c>
      <c r="G30" s="199">
        <f>-$N$16</f>
        <v/>
      </c>
      <c r="H30" s="199">
        <f>-$N$16</f>
        <v/>
      </c>
      <c r="I30" s="199">
        <f>-$N$16</f>
        <v/>
      </c>
      <c r="J30" s="199">
        <f>-$N$16</f>
        <v/>
      </c>
    </row>
    <row r="31" ht="14.25" customHeight="1" s="148">
      <c r="B31" s="147" t="inlineStr">
        <is>
          <t>(-) Change in NWC</t>
        </is>
      </c>
      <c r="E31" s="199" t="n"/>
      <c r="F31" s="199">
        <f>$N$17</f>
        <v/>
      </c>
      <c r="G31" s="199">
        <f>$N$17</f>
        <v/>
      </c>
      <c r="H31" s="199">
        <f>$N$17</f>
        <v/>
      </c>
      <c r="I31" s="199">
        <f>$N$17</f>
        <v/>
      </c>
      <c r="J31" s="199">
        <f>$N$17</f>
        <v/>
      </c>
    </row>
    <row r="32" ht="14.25" customHeight="1" s="148">
      <c r="B32" s="188" t="inlineStr">
        <is>
          <t>Levered FCF</t>
        </is>
      </c>
      <c r="C32" s="188" t="n"/>
      <c r="D32" s="188" t="n"/>
      <c r="E32" s="200" t="n"/>
      <c r="F32" s="200">
        <f>SUM(F28:F31)</f>
        <v/>
      </c>
      <c r="G32" s="200">
        <f>SUM(G28:G31)</f>
        <v/>
      </c>
      <c r="H32" s="200">
        <f>SUM(H28:H31)</f>
        <v/>
      </c>
      <c r="I32" s="200">
        <f>SUM(I28:I31)</f>
        <v/>
      </c>
      <c r="J32" s="200">
        <f>SUM(J28:J31)</f>
        <v/>
      </c>
    </row>
    <row r="33" ht="14.25" customHeight="1" s="148">
      <c r="B33" s="193" t="inlineStr">
        <is>
          <t>Cumulative LFCF</t>
        </is>
      </c>
      <c r="E33" s="199" t="n"/>
      <c r="F33" s="201">
        <f>SUM($E32:F32)</f>
        <v/>
      </c>
      <c r="G33" s="201">
        <f>SUM($E32:G32)</f>
        <v/>
      </c>
      <c r="H33" s="201">
        <f>SUM($E32:H32)</f>
        <v/>
      </c>
      <c r="I33" s="201">
        <f>SUM($E32:I32)</f>
        <v/>
      </c>
      <c r="J33" s="201">
        <f>SUM($E32:J32)</f>
        <v/>
      </c>
    </row>
    <row r="35" ht="14.25" customHeight="1" s="148">
      <c r="B35" s="191" t="inlineStr">
        <is>
          <t>Returns — UNDERWRITTEN CASE (template mechanics: interest on opening debt, all LFCF accumulates as cash)</t>
        </is>
      </c>
      <c r="C35" s="192" t="n"/>
      <c r="D35" s="192" t="n"/>
      <c r="E35" s="174" t="n"/>
      <c r="F35" s="174" t="n"/>
      <c r="G35" s="174" t="n"/>
      <c r="H35" s="174" t="n"/>
      <c r="I35" s="174" t="n"/>
      <c r="J35" s="174" t="n"/>
    </row>
    <row r="37" ht="14.25" customHeight="1" s="148">
      <c r="B37" s="147" t="inlineStr">
        <is>
          <t>Exit EBITDA (2019)</t>
        </is>
      </c>
      <c r="E37" s="199">
        <f>J18</f>
        <v/>
      </c>
    </row>
    <row r="38" ht="14.25" customHeight="1" s="148">
      <c r="B38" s="147" t="inlineStr">
        <is>
          <t>(x) Exit Multiple</t>
        </is>
      </c>
      <c r="E38" s="164">
        <f>N18</f>
        <v/>
      </c>
    </row>
    <row r="39" ht="14.25" customHeight="1" s="148">
      <c r="B39" s="202" t="inlineStr">
        <is>
          <t>Enterprise Value</t>
        </is>
      </c>
      <c r="C39" s="202" t="n"/>
      <c r="D39" s="202" t="n"/>
      <c r="E39" s="203">
        <f>E37*E38</f>
        <v/>
      </c>
    </row>
    <row r="40" ht="14.25" customHeight="1" s="148">
      <c r="B40" s="147" t="inlineStr">
        <is>
          <t>(-) Debt</t>
        </is>
      </c>
      <c r="E40" s="199">
        <f>-E12</f>
        <v/>
      </c>
    </row>
    <row r="41" ht="14.25" customHeight="1" s="148">
      <c r="B41" s="147" t="inlineStr">
        <is>
          <t>(+) Cash</t>
        </is>
      </c>
      <c r="E41" s="199">
        <f>J33</f>
        <v/>
      </c>
    </row>
    <row r="42" ht="14.25" customHeight="1" s="148">
      <c r="B42" s="202" t="inlineStr">
        <is>
          <t>Equity Value at Exit</t>
        </is>
      </c>
      <c r="C42" s="202" t="n"/>
      <c r="D42" s="202" t="n"/>
      <c r="E42" s="203">
        <f>SUM(E39:E41)</f>
        <v/>
      </c>
    </row>
    <row r="43" ht="14.25" customHeight="1" s="148">
      <c r="B43" s="147" t="inlineStr">
        <is>
          <t xml:space="preserve">Initial Equity Investment </t>
        </is>
      </c>
      <c r="E43" s="199">
        <f>E6</f>
        <v/>
      </c>
    </row>
    <row r="45" ht="14.25" customHeight="1" s="148">
      <c r="B45" s="147" t="inlineStr">
        <is>
          <t>MoM</t>
        </is>
      </c>
      <c r="E45" s="164">
        <f>E42/E43</f>
        <v/>
      </c>
    </row>
    <row r="46" ht="14.25" customHeight="1" s="148">
      <c r="B46" s="147" t="inlineStr">
        <is>
          <t>IRR</t>
        </is>
      </c>
      <c r="E46" s="177">
        <f>XIRR(E48:E49,B48:B49)</f>
        <v/>
      </c>
    </row>
    <row r="48" ht="14.25" customHeight="1" s="148">
      <c r="B48" s="204">
        <f>N19</f>
        <v/>
      </c>
      <c r="E48" s="199">
        <f>-E6</f>
        <v/>
      </c>
    </row>
    <row r="49" ht="14.25" customHeight="1" s="148">
      <c r="B49" s="204">
        <f>N20</f>
        <v/>
      </c>
      <c r="E49" s="199">
        <f>E42</f>
        <v/>
      </c>
    </row>
    <row r="52" ht="14.25" customHeight="1" s="148">
      <c r="B52" s="205" t="inlineStr">
        <is>
          <t>ACTUAL OUTCOME</t>
        </is>
      </c>
      <c r="C52" s="206" t="n"/>
      <c r="D52" s="206" t="n"/>
      <c r="E52" s="206" t="n"/>
      <c r="F52" s="206" t="n"/>
      <c r="G52" s="206" t="n"/>
      <c r="H52" s="206" t="n"/>
      <c r="I52" s="206" t="n"/>
      <c r="J52" s="206" t="n"/>
    </row>
    <row r="53" ht="14.25" customHeight="1" s="148">
      <c r="B53" s="207" t="inlineStr">
        <is>
          <t>Exit enterprise value, actual ($m)</t>
        </is>
      </c>
      <c r="E53" s="208" t="n">
        <v>2900</v>
      </c>
    </row>
    <row r="54" ht="14.25" customHeight="1" s="148">
      <c r="B54" s="207" t="inlineStr">
        <is>
          <t>Debt at exit ($m)</t>
        </is>
      </c>
      <c r="E54" s="208" t="n">
        <v>1000</v>
      </c>
    </row>
    <row r="55" ht="14.25" customHeight="1" s="148">
      <c r="B55" s="207" t="inlineStr">
        <is>
          <t>Equity value at exit ($m)</t>
        </is>
      </c>
      <c r="E55" s="165">
        <f>E53-E54</f>
        <v/>
      </c>
    </row>
    <row r="56" ht="14.25" customHeight="1" s="148">
      <c r="B56" s="207" t="inlineStr">
        <is>
          <t>Equity invested (from Sources) ($m)</t>
        </is>
      </c>
      <c r="E56" s="165">
        <f>E6</f>
        <v/>
      </c>
    </row>
    <row r="57" ht="14.25" customHeight="1" s="148">
      <c r="B57" s="207" t="inlineStr">
        <is>
          <t>MoM, actual</t>
        </is>
      </c>
      <c r="E57" s="164">
        <f>E55/E56</f>
        <v/>
      </c>
    </row>
    <row r="58" ht="14.25" customHeight="1" s="148">
      <c r="B58" s="207" t="inlineStr">
        <is>
          <t>IRR, actual</t>
        </is>
      </c>
      <c r="E58" s="209">
        <f>IFERROR(XIRR(E62:E63,B62:B63),"n/m")</f>
        <v/>
      </c>
    </row>
    <row r="59" ht="14.25" customHeight="1" s="148">
      <c r="B59" s="207" t="inlineStr">
        <is>
          <t>MoM variance vs underwritten</t>
        </is>
      </c>
      <c r="E59" s="164">
        <f>E57-E45</f>
        <v/>
      </c>
    </row>
    <row r="60" ht="14.25" customHeight="1" s="148">
      <c r="B60" s="207" t="inlineStr">
        <is>
          <t>IRR variance vs underwritten (pts)</t>
        </is>
      </c>
      <c r="E60" s="165">
        <f>IFERROR((E58-E46)*100,"n/m")</f>
        <v/>
      </c>
    </row>
    <row r="62" ht="14.25" customHeight="1" s="148">
      <c r="B62" s="204">
        <f>N19</f>
        <v/>
      </c>
      <c r="E62" s="147">
        <f>-E6</f>
        <v/>
      </c>
      <c r="G62" s="155" t="inlineStr">
        <is>
          <t>cash flows for XIRR (actual)</t>
        </is>
      </c>
    </row>
    <row r="63" ht="14.25" customHeight="1" s="148">
      <c r="B63" s="204">
        <f>N21</f>
        <v/>
      </c>
      <c r="E63" s="165">
        <f>E55</f>
        <v/>
      </c>
    </row>
    <row r="65" ht="14.25" customHeight="1" s="148">
      <c r="B65" s="163" t="inlineStr">
        <is>
          <t>Actual outcome note:</t>
        </is>
      </c>
    </row>
    <row r="66" ht="14.25" customHeight="1" s="148">
      <c r="B66" s="151" t="inlineStr">
        <is>
          <t>Exit EV per Moody's; press said $2.5bn. Exit debt assumed equal to entry (no paydown, consistent with later leverage history). Charlesbank retained a minority stake in the Bain deal, not credited here.</t>
        </is>
      </c>
    </row>
    <row r="67" ht="14.25" customHeight="1" s="148"/>
    <row r="68" ht="14.25" customHeight="1" s="148"/>
    <row r="69" ht="14.25" customHeight="1" s="148"/>
    <row r="71" ht="14.25" customHeight="1" s="148">
      <c r="B71" s="163" t="inlineStr">
        <is>
          <t>Deal note:</t>
        </is>
      </c>
    </row>
    <row r="72" ht="14.25" customHeight="1" s="148">
      <c r="B72" s="151" t="inlineStr">
        <is>
          <t>Best-returning link in the chain on any assumption set: ~3.5 years, EV roughly doubled, equity roughly tripled.</t>
        </is>
      </c>
    </row>
    <row r="73" ht="14.25" customHeight="1" s="148"/>
    <row r="74" ht="14.25" customHeight="1" s="148"/>
    <row r="75" ht="14.25" customHeight="1" s="148"/>
    <row r="77" ht="14.25" customHeight="1" s="148">
      <c r="B77" s="155" t="inlineStr">
        <is>
          <t>Classification: ESOP buyout  |  Status: Realised Jul-2018</t>
        </is>
      </c>
    </row>
  </sheetData>
  <mergeCells count="5">
    <mergeCell ref="B4:E4"/>
    <mergeCell ref="G4:J4"/>
    <mergeCell ref="B66:J69"/>
    <mergeCell ref="B72:J75"/>
    <mergeCell ref="B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44546A"/>
    <outlinePr summaryBelow="1" summaryRight="1"/>
    <pageSetUpPr fitToPage="0"/>
  </sheetPr>
  <dimension ref="B2:P77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.45" customWidth="1" style="147" min="2" max="2"/>
    <col width="10.45" customWidth="1" style="147" min="6" max="6"/>
    <col width="30" customWidth="1" style="147" min="12" max="12"/>
    <col width="3" customWidth="1" style="147" min="13" max="13"/>
    <col width="14" customWidth="1" style="147" min="14" max="14"/>
    <col width="6" customWidth="1" style="147" min="15" max="15"/>
    <col width="70" customWidth="1" style="147" min="16" max="16"/>
  </cols>
  <sheetData>
    <row r="2" ht="17.35" customHeight="1" s="148">
      <c r="B2" s="173" t="inlineStr">
        <is>
          <t>Leonard Green / Varsity Brands (2003-11) — Paper LBO</t>
        </is>
      </c>
    </row>
    <row r="4" ht="14.25" customHeight="1" s="148">
      <c r="B4" s="174" t="inlineStr">
        <is>
          <t>Sources</t>
        </is>
      </c>
      <c r="G4" s="174" t="inlineStr">
        <is>
          <t>Uses</t>
        </is>
      </c>
      <c r="L4" s="175" t="inlineStr">
        <is>
          <t>INPUTS</t>
        </is>
      </c>
      <c r="N4" s="175" t="inlineStr">
        <is>
          <t>Value</t>
        </is>
      </c>
      <c r="O4" s="175" t="inlineStr">
        <is>
          <t>Tag</t>
        </is>
      </c>
      <c r="P4" s="175" t="inlineStr">
        <is>
          <t>Source  (F = filed / rating agency, P = press, A = assumption; blue = assumption)</t>
        </is>
      </c>
    </row>
    <row r="5" ht="22.35" customHeight="1" s="148">
      <c r="B5" s="147" t="inlineStr">
        <is>
          <t>Debt</t>
        </is>
      </c>
      <c r="E5" s="176">
        <f>E12</f>
        <v/>
      </c>
      <c r="F5" s="177" t="n"/>
      <c r="G5" s="147" t="inlineStr">
        <is>
          <t>Purchase Price</t>
        </is>
      </c>
      <c r="J5" s="176">
        <f>J12</f>
        <v/>
      </c>
      <c r="L5" s="178" t="inlineStr">
        <is>
          <t>Entry enterprise value ($m)</t>
        </is>
      </c>
      <c r="N5" s="179" t="n">
        <v>144.6</v>
      </c>
      <c r="O5" s="180" t="inlineStr">
        <is>
          <t>F</t>
        </is>
      </c>
      <c r="P5" s="181" t="inlineStr">
        <is>
          <t>Rothschild adjusted EV incl. $10.4m deal costs; $164.2m 'aggregate transaction value' incl. fees</t>
        </is>
      </c>
    </row>
    <row r="6" ht="14.25" customHeight="1" s="148">
      <c r="B6" s="147" t="inlineStr">
        <is>
          <t>Equity (plug)</t>
        </is>
      </c>
      <c r="E6" s="176">
        <f>E7-E5</f>
        <v/>
      </c>
      <c r="L6" s="178" t="inlineStr">
        <is>
          <t>Entry EBITDA, LTM ($m)</t>
        </is>
      </c>
      <c r="N6" s="179" t="n">
        <v>20.7</v>
      </c>
      <c r="O6" s="180" t="inlineStr">
        <is>
          <t>F</t>
        </is>
      </c>
      <c r="P6" s="181" t="inlineStr">
        <is>
          <t>2002A adjusted EBITDA $19.0m + $1.7m add-backs (SC 13E-3 Ex-99(c)(3))</t>
        </is>
      </c>
    </row>
    <row r="7" ht="14.25" customHeight="1" s="148">
      <c r="B7" s="182" t="inlineStr">
        <is>
          <t>Total Sources</t>
        </is>
      </c>
      <c r="C7" s="182" t="n"/>
      <c r="D7" s="182" t="n"/>
      <c r="E7" s="183">
        <f>J7</f>
        <v/>
      </c>
      <c r="G7" s="182" t="inlineStr">
        <is>
          <t>Total Uses</t>
        </is>
      </c>
      <c r="H7" s="182" t="n"/>
      <c r="I7" s="182" t="n"/>
      <c r="J7" s="183">
        <f>J5</f>
        <v/>
      </c>
      <c r="L7" s="178" t="inlineStr">
        <is>
          <t>Entry multiple (x)</t>
        </is>
      </c>
      <c r="N7" s="184">
        <f>N5/N6</f>
        <v/>
      </c>
      <c r="O7" s="180" t="inlineStr">
        <is>
          <t>calc</t>
        </is>
      </c>
      <c r="P7" s="181" t="inlineStr">
        <is>
          <t>Derived</t>
        </is>
      </c>
    </row>
    <row r="8" ht="22.35" customHeight="1" s="148">
      <c r="L8" s="178" t="inlineStr">
        <is>
          <t>Debt raised ($m)</t>
        </is>
      </c>
      <c r="N8" s="190" t="n">
        <v>85</v>
      </c>
      <c r="O8" s="180" t="inlineStr">
        <is>
          <t>A</t>
        </is>
      </c>
      <c r="P8" s="181" t="inlineStr">
        <is>
          <t>Assumption: Wells Fargo/Merrill senior ~$55m + NML/BancAmerica sub-debt ~$30m (sizes not in the DEFM14A extract)</t>
        </is>
      </c>
    </row>
    <row r="9" ht="14.25" customHeight="1" s="148">
      <c r="B9" s="185" t="inlineStr">
        <is>
          <t>Build to Debt</t>
        </is>
      </c>
      <c r="G9" s="185" t="inlineStr">
        <is>
          <t>Build to Purchase Price</t>
        </is>
      </c>
      <c r="L9" s="178" t="inlineStr">
        <is>
          <t>Leverage (x EBITDA)</t>
        </is>
      </c>
      <c r="N9" s="184">
        <f>N8/N6</f>
        <v/>
      </c>
      <c r="O9" s="180" t="inlineStr">
        <is>
          <t>calc</t>
        </is>
      </c>
      <c r="P9" s="181" t="inlineStr">
        <is>
          <t>Derived</t>
        </is>
      </c>
    </row>
    <row r="10" ht="14.25" customHeight="1" s="148">
      <c r="B10" s="147" t="inlineStr">
        <is>
          <t>2002 EBITDA (LTM)</t>
        </is>
      </c>
      <c r="E10" s="176">
        <f>E18</f>
        <v/>
      </c>
      <c r="G10" s="147" t="inlineStr">
        <is>
          <t>2002 EBITDA (LTM)</t>
        </is>
      </c>
      <c r="J10" s="176">
        <f>E18</f>
        <v/>
      </c>
      <c r="L10" s="178" t="inlineStr">
        <is>
          <t>Blended cash interest rate</t>
        </is>
      </c>
      <c r="N10" s="187" t="n">
        <v>0.081</v>
      </c>
      <c r="O10" s="180" t="inlineStr">
        <is>
          <t>A</t>
        </is>
      </c>
      <c r="P10" s="181" t="inlineStr">
        <is>
          <t>Senior ~6% / sub-debt ~12%, blended</t>
        </is>
      </c>
    </row>
    <row r="11" ht="14.25" customHeight="1" s="148">
      <c r="B11" s="147" t="inlineStr">
        <is>
          <t>(x) Leverage</t>
        </is>
      </c>
      <c r="E11" s="164">
        <f>N9</f>
        <v/>
      </c>
      <c r="G11" s="147" t="inlineStr">
        <is>
          <t>(x) Multiple of 2023 EBITDA</t>
        </is>
      </c>
      <c r="J11" s="164">
        <f>N7</f>
        <v/>
      </c>
      <c r="L11" s="178" t="inlineStr">
        <is>
          <t>Tax rate</t>
        </is>
      </c>
      <c r="N11" s="187" t="n">
        <v>0.38</v>
      </c>
      <c r="O11" s="180" t="inlineStr">
        <is>
          <t>A</t>
        </is>
      </c>
      <c r="P11" s="181" t="inlineStr">
        <is>
          <t>Assumption</t>
        </is>
      </c>
    </row>
    <row r="12" ht="14.25" customHeight="1" s="148">
      <c r="B12" s="188" t="inlineStr">
        <is>
          <t>Debt</t>
        </is>
      </c>
      <c r="C12" s="188" t="n"/>
      <c r="D12" s="188" t="n"/>
      <c r="E12" s="189">
        <f>E10*E11</f>
        <v/>
      </c>
      <c r="G12" s="188" t="inlineStr">
        <is>
          <t>Purchase Price</t>
        </is>
      </c>
      <c r="H12" s="188" t="n"/>
      <c r="I12" s="188" t="n"/>
      <c r="J12" s="189">
        <f>J10*J11</f>
        <v/>
      </c>
      <c r="L12" s="178" t="inlineStr">
        <is>
          <t>Base-year revenue ($m)</t>
        </is>
      </c>
      <c r="N12" s="179" t="n">
        <v>156.4</v>
      </c>
      <c r="O12" s="180" t="inlineStr">
        <is>
          <t>F</t>
        </is>
      </c>
      <c r="P12" s="181" t="inlineStr">
        <is>
          <t>Rothschild fairness materials: 2002A revenue (SC 13E-3 Ex-99(c)(2))</t>
        </is>
      </c>
    </row>
    <row r="13" ht="14.25" customHeight="1" s="148">
      <c r="L13" s="178" t="inlineStr">
        <is>
          <t>Incremental revenue p.a. ($m)</t>
        </is>
      </c>
      <c r="N13" s="179" t="n">
        <v>14</v>
      </c>
      <c r="O13" s="180" t="inlineStr">
        <is>
          <t>F</t>
        </is>
      </c>
      <c r="P13" s="181" t="inlineStr">
        <is>
          <t>2003E revenue $170.5m per Rothschild; ~9% p.a.</t>
        </is>
      </c>
    </row>
    <row r="14" ht="14.25" customHeight="1" s="148">
      <c r="B14" s="191" t="inlineStr">
        <is>
          <t>Simple P&amp;L</t>
        </is>
      </c>
      <c r="C14" s="192" t="n"/>
      <c r="D14" s="192" t="n"/>
      <c r="E14" s="174" t="n">
        <v>2002</v>
      </c>
      <c r="F14" s="174">
        <f>E14+1</f>
        <v/>
      </c>
      <c r="G14" s="174">
        <f>F14+1</f>
        <v/>
      </c>
      <c r="H14" s="174">
        <f>G14+1</f>
        <v/>
      </c>
      <c r="I14" s="174">
        <f>H14+1</f>
        <v/>
      </c>
      <c r="J14" s="174">
        <f>I14+1</f>
        <v/>
      </c>
      <c r="L14" s="178" t="inlineStr">
        <is>
          <t>EBITDA margin, base year</t>
        </is>
      </c>
      <c r="N14" s="186">
        <f>N6/N12</f>
        <v/>
      </c>
      <c r="O14" s="180" t="inlineStr">
        <is>
          <t>calc</t>
        </is>
      </c>
      <c r="P14" s="181" t="inlineStr">
        <is>
          <t>Derived</t>
        </is>
      </c>
    </row>
    <row r="15" ht="14.25" customHeight="1" s="148">
      <c r="B15" s="147" t="inlineStr">
        <is>
          <t>Revenue</t>
        </is>
      </c>
      <c r="E15" s="176">
        <f>N12</f>
        <v/>
      </c>
      <c r="F15" s="176">
        <f>E15+F16</f>
        <v/>
      </c>
      <c r="G15" s="176">
        <f>F15+G16</f>
        <v/>
      </c>
      <c r="H15" s="176">
        <f>G15+H16</f>
        <v/>
      </c>
      <c r="I15" s="176">
        <f>H15+I16</f>
        <v/>
      </c>
      <c r="J15" s="176">
        <f>I15+J16</f>
        <v/>
      </c>
      <c r="L15" s="178" t="inlineStr">
        <is>
          <t>D&amp;A p.a. ($m)</t>
        </is>
      </c>
      <c r="N15" s="190" t="n">
        <v>4.5</v>
      </c>
      <c r="O15" s="180" t="inlineStr">
        <is>
          <t>A</t>
        </is>
      </c>
      <c r="P15" s="181" t="inlineStr">
        <is>
          <t>Assumption ~2.9% of revenue</t>
        </is>
      </c>
    </row>
    <row r="16" ht="14.25" customHeight="1" s="148">
      <c r="B16" s="193" t="inlineStr">
        <is>
          <t>$ Incremental Revenue</t>
        </is>
      </c>
      <c r="F16" s="194">
        <f>N13</f>
        <v/>
      </c>
      <c r="G16" s="194">
        <f>F16</f>
        <v/>
      </c>
      <c r="H16" s="194">
        <f>G16</f>
        <v/>
      </c>
      <c r="I16" s="194">
        <f>H16</f>
        <v/>
      </c>
      <c r="J16" s="194">
        <f>I16</f>
        <v/>
      </c>
      <c r="L16" s="178" t="inlineStr">
        <is>
          <t>Capex p.a. ($m)</t>
        </is>
      </c>
      <c r="N16" s="190" t="n">
        <v>4</v>
      </c>
      <c r="O16" s="180" t="inlineStr">
        <is>
          <t>A</t>
        </is>
      </c>
      <c r="P16" s="181" t="inlineStr">
        <is>
          <t>Assumption</t>
        </is>
      </c>
    </row>
    <row r="17" ht="14.25" customHeight="1" s="148">
      <c r="L17" s="178" t="inlineStr">
        <is>
          <t>Change in NWC p.a. ($m, negative = investment)</t>
        </is>
      </c>
      <c r="N17" s="190" t="n">
        <v>-1</v>
      </c>
      <c r="O17" s="180" t="inlineStr">
        <is>
          <t>A</t>
        </is>
      </c>
      <c r="P17" s="181" t="inlineStr">
        <is>
          <t>Growth working capital, assumption</t>
        </is>
      </c>
    </row>
    <row r="18" ht="14.25" customHeight="1" s="148">
      <c r="B18" s="147" t="inlineStr">
        <is>
          <t>EBITDA</t>
        </is>
      </c>
      <c r="E18" s="176">
        <f>E19*E15</f>
        <v/>
      </c>
      <c r="F18" s="176">
        <f>F19*F15</f>
        <v/>
      </c>
      <c r="G18" s="176">
        <f>G19*G15</f>
        <v/>
      </c>
      <c r="H18" s="176">
        <f>H19*H15</f>
        <v/>
      </c>
      <c r="I18" s="176">
        <f>I19*I15</f>
        <v/>
      </c>
      <c r="J18" s="176">
        <f>J19*J15</f>
        <v/>
      </c>
      <c r="L18" s="178" t="inlineStr">
        <is>
          <t>Exit multiple (x)</t>
        </is>
      </c>
      <c r="N18" s="195" t="n">
        <v>7</v>
      </c>
      <c r="O18" s="180" t="inlineStr">
        <is>
          <t>A</t>
        </is>
      </c>
      <c r="P18" s="181" t="inlineStr">
        <is>
          <t>Assumed equal to entry (exit price to Herff Jones undisclosed)</t>
        </is>
      </c>
    </row>
    <row r="19" ht="14.25" customHeight="1" s="148">
      <c r="B19" s="193" t="inlineStr">
        <is>
          <t>% margin</t>
        </is>
      </c>
      <c r="E19" s="196">
        <f>N14</f>
        <v/>
      </c>
      <c r="F19" s="196">
        <f>E19</f>
        <v/>
      </c>
      <c r="G19" s="196">
        <f>F19</f>
        <v/>
      </c>
      <c r="H19" s="196">
        <f>G19</f>
        <v/>
      </c>
      <c r="I19" s="196">
        <f>H19</f>
        <v/>
      </c>
      <c r="J19" s="196">
        <f>I19</f>
        <v/>
      </c>
      <c r="L19" s="178" t="inlineStr">
        <is>
          <t>Entry date</t>
        </is>
      </c>
      <c r="N19" s="197" t="n">
        <v>37888</v>
      </c>
      <c r="O19" s="180" t="inlineStr">
        <is>
          <t>F</t>
        </is>
      </c>
      <c r="P19" s="181" t="inlineStr">
        <is>
          <t>Closing date per filings</t>
        </is>
      </c>
    </row>
    <row r="20" ht="14.25" customHeight="1" s="148">
      <c r="L20" s="178" t="inlineStr">
        <is>
          <t>Underwritten exit date (5-year hold)</t>
        </is>
      </c>
      <c r="N20" s="198" t="n">
        <v>39715</v>
      </c>
      <c r="O20" s="180" t="inlineStr">
        <is>
          <t>A</t>
        </is>
      </c>
      <c r="P20" s="181" t="inlineStr">
        <is>
          <t>Template convention: five projection years</t>
        </is>
      </c>
    </row>
    <row r="21" ht="14.25" customHeight="1" s="148">
      <c r="B21" s="185" t="inlineStr">
        <is>
          <t>LFCF Build</t>
        </is>
      </c>
      <c r="L21" s="178" t="inlineStr">
        <is>
          <t>Actual exit / valuation date</t>
        </is>
      </c>
      <c r="N21" s="197" t="inlineStr">
        <is>
          <t>n/a</t>
        </is>
      </c>
      <c r="O21" s="180" t="inlineStr">
        <is>
          <t>F</t>
        </is>
      </c>
      <c r="P21" s="181" t="inlineStr">
        <is>
          <t>No realised exit</t>
        </is>
      </c>
    </row>
    <row r="22" ht="14.25" customHeight="1" s="148">
      <c r="B22" s="147" t="inlineStr">
        <is>
          <t>EBITDA</t>
        </is>
      </c>
      <c r="E22" s="199" t="n"/>
      <c r="F22" s="199">
        <f>F18</f>
        <v/>
      </c>
      <c r="G22" s="199">
        <f>G18</f>
        <v/>
      </c>
      <c r="H22" s="199">
        <f>H18</f>
        <v/>
      </c>
      <c r="I22" s="199">
        <f>I18</f>
        <v/>
      </c>
      <c r="J22" s="199">
        <f>J18</f>
        <v/>
      </c>
    </row>
    <row r="23" ht="14.25" customHeight="1" s="148">
      <c r="B23" s="147" t="inlineStr">
        <is>
          <t>(-) D&amp;A</t>
        </is>
      </c>
      <c r="E23" s="199" t="n"/>
      <c r="F23" s="199">
        <f>-$N$15</f>
        <v/>
      </c>
      <c r="G23" s="199">
        <f>-$N$15</f>
        <v/>
      </c>
      <c r="H23" s="199">
        <f>-$N$15</f>
        <v/>
      </c>
      <c r="I23" s="199">
        <f>-$N$15</f>
        <v/>
      </c>
      <c r="J23" s="199">
        <f>-$N$15</f>
        <v/>
      </c>
    </row>
    <row r="24" ht="14.25" customHeight="1" s="148">
      <c r="B24" s="188" t="inlineStr">
        <is>
          <t>EBIT</t>
        </is>
      </c>
      <c r="C24" s="188" t="n"/>
      <c r="D24" s="188" t="n"/>
      <c r="E24" s="200" t="n"/>
      <c r="F24" s="200">
        <f>F22+F23</f>
        <v/>
      </c>
      <c r="G24" s="200">
        <f>G22+G23</f>
        <v/>
      </c>
      <c r="H24" s="200">
        <f>H22+H23</f>
        <v/>
      </c>
      <c r="I24" s="200">
        <f>I22+I23</f>
        <v/>
      </c>
      <c r="J24" s="200">
        <f>J22+J23</f>
        <v/>
      </c>
    </row>
    <row r="25" ht="14.25" customHeight="1" s="148">
      <c r="B25" s="147" t="inlineStr">
        <is>
          <t>(-) Cash Interest</t>
        </is>
      </c>
      <c r="D25" s="196">
        <f>N10</f>
        <v/>
      </c>
      <c r="E25" s="199" t="n"/>
      <c r="F25" s="199">
        <f>$E$12*-$D$25</f>
        <v/>
      </c>
      <c r="G25" s="199">
        <f>$E$12*-$D$25</f>
        <v/>
      </c>
      <c r="H25" s="199">
        <f>$E$12*-$D$25</f>
        <v/>
      </c>
      <c r="I25" s="199">
        <f>$E$12*-$D$25</f>
        <v/>
      </c>
      <c r="J25" s="199">
        <f>$E$12*-$D$25</f>
        <v/>
      </c>
    </row>
    <row r="26" ht="14.25" customHeight="1" s="148">
      <c r="B26" s="188" t="inlineStr">
        <is>
          <t>EBT</t>
        </is>
      </c>
      <c r="C26" s="188" t="n"/>
      <c r="D26" s="188" t="n"/>
      <c r="E26" s="200" t="n"/>
      <c r="F26" s="200">
        <f>F24+F25</f>
        <v/>
      </c>
      <c r="G26" s="200">
        <f>G24+G25</f>
        <v/>
      </c>
      <c r="H26" s="200">
        <f>H24+H25</f>
        <v/>
      </c>
      <c r="I26" s="200">
        <f>I24+I25</f>
        <v/>
      </c>
      <c r="J26" s="200">
        <f>J24+J25</f>
        <v/>
      </c>
    </row>
    <row r="27" ht="14.25" customHeight="1" s="148">
      <c r="B27" s="147" t="inlineStr">
        <is>
          <t>(-) Taxes</t>
        </is>
      </c>
      <c r="D27" s="196">
        <f>N11</f>
        <v/>
      </c>
      <c r="E27" s="199" t="n"/>
      <c r="F27" s="199">
        <f>F26*-$D27</f>
        <v/>
      </c>
      <c r="G27" s="199">
        <f>G26*-$D27</f>
        <v/>
      </c>
      <c r="H27" s="199">
        <f>H26*-$D27</f>
        <v/>
      </c>
      <c r="I27" s="199">
        <f>I26*-$D27</f>
        <v/>
      </c>
      <c r="J27" s="199">
        <f>J26*-$D27</f>
        <v/>
      </c>
    </row>
    <row r="28" ht="14.25" customHeight="1" s="148">
      <c r="B28" s="188" t="inlineStr">
        <is>
          <t>Net Income</t>
        </is>
      </c>
      <c r="C28" s="188" t="n"/>
      <c r="D28" s="188" t="n"/>
      <c r="E28" s="200" t="n"/>
      <c r="F28" s="200">
        <f>F26+F27</f>
        <v/>
      </c>
      <c r="G28" s="200">
        <f>G26+G27</f>
        <v/>
      </c>
      <c r="H28" s="200">
        <f>H26+H27</f>
        <v/>
      </c>
      <c r="I28" s="200">
        <f>I26+I27</f>
        <v/>
      </c>
      <c r="J28" s="200">
        <f>J26+J27</f>
        <v/>
      </c>
    </row>
    <row r="29" ht="14.25" customHeight="1" s="148">
      <c r="B29" s="147" t="inlineStr">
        <is>
          <t>(+) D&amp;A</t>
        </is>
      </c>
      <c r="E29" s="199" t="n"/>
      <c r="F29" s="199">
        <f>-F23</f>
        <v/>
      </c>
      <c r="G29" s="199">
        <f>-G23</f>
        <v/>
      </c>
      <c r="H29" s="199">
        <f>-H23</f>
        <v/>
      </c>
      <c r="I29" s="199">
        <f>-I23</f>
        <v/>
      </c>
      <c r="J29" s="199">
        <f>-J23</f>
        <v/>
      </c>
    </row>
    <row r="30" ht="14.25" customHeight="1" s="148">
      <c r="B30" s="147" t="inlineStr">
        <is>
          <t>(-) Capex</t>
        </is>
      </c>
      <c r="E30" s="199" t="n"/>
      <c r="F30" s="199">
        <f>-$N$16</f>
        <v/>
      </c>
      <c r="G30" s="199">
        <f>-$N$16</f>
        <v/>
      </c>
      <c r="H30" s="199">
        <f>-$N$16</f>
        <v/>
      </c>
      <c r="I30" s="199">
        <f>-$N$16</f>
        <v/>
      </c>
      <c r="J30" s="199">
        <f>-$N$16</f>
        <v/>
      </c>
    </row>
    <row r="31" ht="14.25" customHeight="1" s="148">
      <c r="B31" s="147" t="inlineStr">
        <is>
          <t>(-) Change in NWC</t>
        </is>
      </c>
      <c r="E31" s="199" t="n"/>
      <c r="F31" s="199">
        <f>$N$17</f>
        <v/>
      </c>
      <c r="G31" s="199">
        <f>$N$17</f>
        <v/>
      </c>
      <c r="H31" s="199">
        <f>$N$17</f>
        <v/>
      </c>
      <c r="I31" s="199">
        <f>$N$17</f>
        <v/>
      </c>
      <c r="J31" s="199">
        <f>$N$17</f>
        <v/>
      </c>
    </row>
    <row r="32" ht="14.25" customHeight="1" s="148">
      <c r="B32" s="188" t="inlineStr">
        <is>
          <t>Levered FCF</t>
        </is>
      </c>
      <c r="C32" s="188" t="n"/>
      <c r="D32" s="188" t="n"/>
      <c r="E32" s="200" t="n"/>
      <c r="F32" s="200">
        <f>SUM(F28:F31)</f>
        <v/>
      </c>
      <c r="G32" s="200">
        <f>SUM(G28:G31)</f>
        <v/>
      </c>
      <c r="H32" s="200">
        <f>SUM(H28:H31)</f>
        <v/>
      </c>
      <c r="I32" s="200">
        <f>SUM(I28:I31)</f>
        <v/>
      </c>
      <c r="J32" s="200">
        <f>SUM(J28:J31)</f>
        <v/>
      </c>
    </row>
    <row r="33" ht="14.25" customHeight="1" s="148">
      <c r="B33" s="193" t="inlineStr">
        <is>
          <t>Cumulative LFCF</t>
        </is>
      </c>
      <c r="E33" s="199" t="n"/>
      <c r="F33" s="201">
        <f>SUM($E32:F32)</f>
        <v/>
      </c>
      <c r="G33" s="201">
        <f>SUM($E32:G32)</f>
        <v/>
      </c>
      <c r="H33" s="201">
        <f>SUM($E32:H32)</f>
        <v/>
      </c>
      <c r="I33" s="201">
        <f>SUM($E32:I32)</f>
        <v/>
      </c>
      <c r="J33" s="201">
        <f>SUM($E32:J32)</f>
        <v/>
      </c>
    </row>
    <row r="35" ht="14.25" customHeight="1" s="148">
      <c r="B35" s="191" t="inlineStr">
        <is>
          <t>Returns — UNDERWRITTEN CASE (template mechanics: interest on opening debt, all LFCF accumulates as cash)</t>
        </is>
      </c>
      <c r="C35" s="192" t="n"/>
      <c r="D35" s="192" t="n"/>
      <c r="E35" s="174" t="n"/>
      <c r="F35" s="174" t="n"/>
      <c r="G35" s="174" t="n"/>
      <c r="H35" s="174" t="n"/>
      <c r="I35" s="174" t="n"/>
      <c r="J35" s="174" t="n"/>
    </row>
    <row r="37" ht="14.25" customHeight="1" s="148">
      <c r="B37" s="147" t="inlineStr">
        <is>
          <t>Exit EBITDA (2007)</t>
        </is>
      </c>
      <c r="E37" s="199">
        <f>J18</f>
        <v/>
      </c>
    </row>
    <row r="38" ht="14.25" customHeight="1" s="148">
      <c r="B38" s="147" t="inlineStr">
        <is>
          <t>(x) Exit Multiple</t>
        </is>
      </c>
      <c r="E38" s="164">
        <f>N18</f>
        <v/>
      </c>
    </row>
    <row r="39" ht="14.25" customHeight="1" s="148">
      <c r="B39" s="202" t="inlineStr">
        <is>
          <t>Enterprise Value</t>
        </is>
      </c>
      <c r="C39" s="202" t="n"/>
      <c r="D39" s="202" t="n"/>
      <c r="E39" s="203">
        <f>E37*E38</f>
        <v/>
      </c>
    </row>
    <row r="40" ht="14.25" customHeight="1" s="148">
      <c r="B40" s="147" t="inlineStr">
        <is>
          <t>(-) Debt</t>
        </is>
      </c>
      <c r="E40" s="199">
        <f>-E12</f>
        <v/>
      </c>
    </row>
    <row r="41" ht="14.25" customHeight="1" s="148">
      <c r="B41" s="147" t="inlineStr">
        <is>
          <t>(+) Cash</t>
        </is>
      </c>
      <c r="E41" s="199">
        <f>J33</f>
        <v/>
      </c>
    </row>
    <row r="42" ht="14.25" customHeight="1" s="148">
      <c r="B42" s="202" t="inlineStr">
        <is>
          <t>Equity Value at Exit</t>
        </is>
      </c>
      <c r="C42" s="202" t="n"/>
      <c r="D42" s="202" t="n"/>
      <c r="E42" s="203">
        <f>SUM(E39:E41)</f>
        <v/>
      </c>
    </row>
    <row r="43" ht="14.25" customHeight="1" s="148">
      <c r="B43" s="147" t="inlineStr">
        <is>
          <t xml:space="preserve">Initial Equity Investment </t>
        </is>
      </c>
      <c r="E43" s="199">
        <f>E6</f>
        <v/>
      </c>
    </row>
    <row r="45" ht="14.25" customHeight="1" s="148">
      <c r="B45" s="147" t="inlineStr">
        <is>
          <t>MoM</t>
        </is>
      </c>
      <c r="E45" s="164">
        <f>E42/E43</f>
        <v/>
      </c>
    </row>
    <row r="46" ht="14.25" customHeight="1" s="148">
      <c r="B46" s="147" t="inlineStr">
        <is>
          <t>IRR</t>
        </is>
      </c>
      <c r="E46" s="177">
        <f>XIRR(E48:E49,B48:B49)</f>
        <v/>
      </c>
    </row>
    <row r="48" ht="14.25" customHeight="1" s="148">
      <c r="B48" s="204">
        <f>N19</f>
        <v/>
      </c>
      <c r="E48" s="199">
        <f>-E6</f>
        <v/>
      </c>
    </row>
    <row r="49" ht="14.25" customHeight="1" s="148">
      <c r="B49" s="204">
        <f>N20</f>
        <v/>
      </c>
      <c r="E49" s="199">
        <f>E42</f>
        <v/>
      </c>
    </row>
    <row r="52" ht="14.25" customHeight="1" s="148">
      <c r="B52" s="205" t="inlineStr">
        <is>
          <t>ACTUAL OUTCOME</t>
        </is>
      </c>
      <c r="C52" s="206" t="n"/>
      <c r="D52" s="206" t="n"/>
      <c r="E52" s="206" t="n"/>
      <c r="F52" s="206" t="n"/>
      <c r="G52" s="206" t="n"/>
      <c r="H52" s="206" t="n"/>
      <c r="I52" s="206" t="n"/>
      <c r="J52" s="206" t="n"/>
    </row>
    <row r="53" ht="14.25" customHeight="1" s="148">
      <c r="B53" s="207" t="inlineStr">
        <is>
          <t>Exit enterprise value, actual ($m)</t>
        </is>
      </c>
      <c r="E53" s="155" t="inlineStr">
        <is>
          <t>undisclosed</t>
        </is>
      </c>
    </row>
    <row r="54" ht="14.25" customHeight="1" s="148">
      <c r="B54" s="207" t="inlineStr">
        <is>
          <t>Debt at exit ($m)</t>
        </is>
      </c>
    </row>
    <row r="55" ht="14.25" customHeight="1" s="148">
      <c r="B55" s="207" t="inlineStr">
        <is>
          <t>Equity value at exit ($m)</t>
        </is>
      </c>
    </row>
    <row r="56" ht="14.25" customHeight="1" s="148">
      <c r="B56" s="207" t="inlineStr">
        <is>
          <t>Equity invested (from Sources) ($m)</t>
        </is>
      </c>
    </row>
    <row r="57" ht="14.25" customHeight="1" s="148">
      <c r="B57" s="207" t="inlineStr">
        <is>
          <t>MoM, actual</t>
        </is>
      </c>
    </row>
    <row r="58" ht="14.25" customHeight="1" s="148">
      <c r="B58" s="207" t="inlineStr">
        <is>
          <t>IRR, actual</t>
        </is>
      </c>
    </row>
    <row r="59" ht="14.25" customHeight="1" s="148">
      <c r="B59" s="207" t="inlineStr">
        <is>
          <t>MoM variance vs underwritten</t>
        </is>
      </c>
    </row>
    <row r="60" ht="14.25" customHeight="1" s="148">
      <c r="B60" s="207" t="inlineStr">
        <is>
          <t>IRR variance vs underwritten (pts)</t>
        </is>
      </c>
    </row>
    <row r="65" ht="14.25" customHeight="1" s="148">
      <c r="B65" s="163" t="inlineStr">
        <is>
          <t>Actual outcome note:</t>
        </is>
      </c>
    </row>
    <row r="66" ht="14.25" customHeight="1" s="148">
      <c r="B66" s="151" t="inlineStr">
        <is>
          <t>Exit price not disclosed by the parties.</t>
        </is>
      </c>
    </row>
    <row r="67" ht="14.25" customHeight="1" s="148"/>
    <row r="68" ht="14.25" customHeight="1" s="148"/>
    <row r="69" ht="14.25" customHeight="1" s="148"/>
    <row r="71" ht="14.25" customHeight="1" s="148">
      <c r="B71" s="163" t="inlineStr">
        <is>
          <t>Deal note:</t>
        </is>
      </c>
    </row>
    <row r="72" ht="14.25" customHeight="1" s="148">
      <c r="B72" s="151" t="inlineStr">
        <is>
          <t>Rothschild's own multiples: 7.6x 2002A / 6.7x 2003E adjusted EBITDA. Exit to Herff Jones in 2011 was undisclosed, so the realised return cannot be stated.</t>
        </is>
      </c>
    </row>
    <row r="73" ht="14.25" customHeight="1" s="148"/>
    <row r="74" ht="14.25" customHeight="1" s="148"/>
    <row r="75" ht="14.25" customHeight="1" s="148"/>
    <row r="77" ht="14.25" customHeight="1" s="148">
      <c r="B77" s="155" t="inlineStr">
        <is>
          <t>Classification: Take-private (13E-3)  |  Status: Realised Aug-2011 (price undisclosed)</t>
        </is>
      </c>
    </row>
  </sheetData>
  <mergeCells count="5">
    <mergeCell ref="B4:E4"/>
    <mergeCell ref="G4:J4"/>
    <mergeCell ref="B66:J69"/>
    <mergeCell ref="B72:J75"/>
    <mergeCell ref="B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44546A"/>
    <outlinePr summaryBelow="1" summaryRight="1"/>
    <pageSetUpPr fitToPage="0"/>
  </sheetPr>
  <dimension ref="B2:P77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.45" customWidth="1" style="147" min="2" max="2"/>
    <col width="10.45" customWidth="1" style="147" min="6" max="6"/>
    <col width="30" customWidth="1" style="147" min="12" max="12"/>
    <col width="3" customWidth="1" style="147" min="13" max="13"/>
    <col width="14" customWidth="1" style="147" min="14" max="14"/>
    <col width="6" customWidth="1" style="147" min="15" max="15"/>
    <col width="70" customWidth="1" style="147" min="16" max="16"/>
  </cols>
  <sheetData>
    <row r="2" ht="17.35" customHeight="1" s="148">
      <c r="B2" s="173" t="inlineStr">
        <is>
          <t>ONCAP / Sport Supply Group (2010-13) — Paper LBO</t>
        </is>
      </c>
    </row>
    <row r="4" ht="14.25" customHeight="1" s="148">
      <c r="B4" s="174" t="inlineStr">
        <is>
          <t>Sources</t>
        </is>
      </c>
      <c r="G4" s="174" t="inlineStr">
        <is>
          <t>Uses</t>
        </is>
      </c>
      <c r="L4" s="175" t="inlineStr">
        <is>
          <t>INPUTS</t>
        </is>
      </c>
      <c r="N4" s="175" t="inlineStr">
        <is>
          <t>Value</t>
        </is>
      </c>
      <c r="O4" s="175" t="inlineStr">
        <is>
          <t>Tag</t>
        </is>
      </c>
      <c r="P4" s="175" t="inlineStr">
        <is>
          <t>Source  (F = filed / rating agency, P = press, A = assumption; blue = assumption)</t>
        </is>
      </c>
    </row>
    <row r="5" ht="14.25" customHeight="1" s="148">
      <c r="B5" s="147" t="inlineStr">
        <is>
          <t>Debt</t>
        </is>
      </c>
      <c r="E5" s="176">
        <f>E12</f>
        <v/>
      </c>
      <c r="F5" s="177" t="n"/>
      <c r="G5" s="147" t="inlineStr">
        <is>
          <t>Purchase Price</t>
        </is>
      </c>
      <c r="J5" s="176">
        <f>J12</f>
        <v/>
      </c>
      <c r="L5" s="178" t="inlineStr">
        <is>
          <t>Entry enterprise value ($m)</t>
        </is>
      </c>
      <c r="N5" s="179" t="n">
        <v>180.2</v>
      </c>
      <c r="O5" s="180" t="inlineStr">
        <is>
          <t>F</t>
        </is>
      </c>
      <c r="P5" s="181" t="inlineStr">
        <is>
          <t>$179.4m equity consideration (SC 13E-3) + $0.8m net debt</t>
        </is>
      </c>
    </row>
    <row r="6" ht="14.25" customHeight="1" s="148">
      <c r="B6" s="147" t="inlineStr">
        <is>
          <t>Equity (plug)</t>
        </is>
      </c>
      <c r="E6" s="176">
        <f>E7-E5</f>
        <v/>
      </c>
      <c r="L6" s="178" t="inlineStr">
        <is>
          <t>Entry EBITDA, LTM ($m)</t>
        </is>
      </c>
      <c r="N6" s="179" t="n">
        <v>25.8</v>
      </c>
      <c r="O6" s="180" t="inlineStr">
        <is>
          <t>F</t>
        </is>
      </c>
      <c r="P6" s="181" t="inlineStr">
        <is>
          <t>LTM adjusted EBITDA to 31 Mar 2010 (8-K Ex-99.1)</t>
        </is>
      </c>
    </row>
    <row r="7" ht="14.25" customHeight="1" s="148">
      <c r="B7" s="182" t="inlineStr">
        <is>
          <t>Total Sources</t>
        </is>
      </c>
      <c r="C7" s="182" t="n"/>
      <c r="D7" s="182" t="n"/>
      <c r="E7" s="183">
        <f>J7</f>
        <v/>
      </c>
      <c r="G7" s="182" t="inlineStr">
        <is>
          <t>Total Uses</t>
        </is>
      </c>
      <c r="H7" s="182" t="n"/>
      <c r="I7" s="182" t="n"/>
      <c r="J7" s="183">
        <f>J5</f>
        <v/>
      </c>
      <c r="L7" s="178" t="inlineStr">
        <is>
          <t>Entry multiple (x)</t>
        </is>
      </c>
      <c r="N7" s="184">
        <f>N5/N6</f>
        <v/>
      </c>
      <c r="O7" s="180" t="inlineStr">
        <is>
          <t>calc</t>
        </is>
      </c>
      <c r="P7" s="181" t="inlineStr">
        <is>
          <t>Derived</t>
        </is>
      </c>
    </row>
    <row r="8" ht="14.25" customHeight="1" s="148">
      <c r="L8" s="178" t="inlineStr">
        <is>
          <t>Debt raised ($m)</t>
        </is>
      </c>
      <c r="N8" s="179" t="n">
        <v>101.1</v>
      </c>
      <c r="O8" s="180" t="inlineStr">
        <is>
          <t>F</t>
        </is>
      </c>
      <c r="P8" s="181" t="inlineStr">
        <is>
          <t>DEFM14A: term loan $74.6m + Manulife mezz $26.5m; $25m revolver undrawn</t>
        </is>
      </c>
    </row>
    <row r="9" ht="14.25" customHeight="1" s="148">
      <c r="B9" s="185" t="inlineStr">
        <is>
          <t>Build to Debt</t>
        </is>
      </c>
      <c r="G9" s="185" t="inlineStr">
        <is>
          <t>Build to Purchase Price</t>
        </is>
      </c>
      <c r="L9" s="178" t="inlineStr">
        <is>
          <t>Leverage (x EBITDA)</t>
        </is>
      </c>
      <c r="N9" s="184">
        <f>N8/N6</f>
        <v/>
      </c>
      <c r="O9" s="180" t="inlineStr">
        <is>
          <t>calc</t>
        </is>
      </c>
      <c r="P9" s="181" t="inlineStr">
        <is>
          <t>Derived</t>
        </is>
      </c>
    </row>
    <row r="10" ht="14.25" customHeight="1" s="148">
      <c r="B10" s="147" t="inlineStr">
        <is>
          <t>2010 EBITDA (LTM)</t>
        </is>
      </c>
      <c r="E10" s="176">
        <f>E18</f>
        <v/>
      </c>
      <c r="G10" s="147" t="inlineStr">
        <is>
          <t>2010 EBITDA (LTM)</t>
        </is>
      </c>
      <c r="J10" s="176">
        <f>E18</f>
        <v/>
      </c>
      <c r="L10" s="178" t="inlineStr">
        <is>
          <t>Blended cash interest rate</t>
        </is>
      </c>
      <c r="N10" s="187" t="n">
        <v>0.076</v>
      </c>
      <c r="O10" s="180" t="inlineStr">
        <is>
          <t>A</t>
        </is>
      </c>
      <c r="P10" s="181" t="inlineStr">
        <is>
          <t>Term loan ~6% / mezz ~12%, blended (rates not disclosed)</t>
        </is>
      </c>
    </row>
    <row r="11" ht="14.25" customHeight="1" s="148">
      <c r="B11" s="147" t="inlineStr">
        <is>
          <t>(x) Leverage</t>
        </is>
      </c>
      <c r="E11" s="164">
        <f>N9</f>
        <v/>
      </c>
      <c r="G11" s="147" t="inlineStr">
        <is>
          <t>(x) Multiple of 2023 EBITDA</t>
        </is>
      </c>
      <c r="J11" s="164">
        <f>N7</f>
        <v/>
      </c>
      <c r="L11" s="178" t="inlineStr">
        <is>
          <t>Tax rate</t>
        </is>
      </c>
      <c r="N11" s="187" t="n">
        <v>0.38</v>
      </c>
      <c r="O11" s="180" t="inlineStr">
        <is>
          <t>A</t>
        </is>
      </c>
      <c r="P11" s="181" t="inlineStr">
        <is>
          <t>Assumption</t>
        </is>
      </c>
    </row>
    <row r="12" ht="14.25" customHeight="1" s="148">
      <c r="B12" s="188" t="inlineStr">
        <is>
          <t>Debt</t>
        </is>
      </c>
      <c r="C12" s="188" t="n"/>
      <c r="D12" s="188" t="n"/>
      <c r="E12" s="189">
        <f>E10*E11</f>
        <v/>
      </c>
      <c r="G12" s="188" t="inlineStr">
        <is>
          <t>Purchase Price</t>
        </is>
      </c>
      <c r="H12" s="188" t="n"/>
      <c r="I12" s="188" t="n"/>
      <c r="J12" s="189">
        <f>J10*J11</f>
        <v/>
      </c>
      <c r="L12" s="178" t="inlineStr">
        <is>
          <t>Base-year revenue ($m)</t>
        </is>
      </c>
      <c r="N12" s="179" t="n">
        <v>262</v>
      </c>
      <c r="O12" s="180" t="inlineStr">
        <is>
          <t>F</t>
        </is>
      </c>
      <c r="P12" s="181" t="inlineStr">
        <is>
          <t>LTM to Mar-2010: FY09 $250.2m, 9-mo FY10 $198.5m (8-K Ex-99.1)</t>
        </is>
      </c>
    </row>
    <row r="13" ht="14.25" customHeight="1" s="148">
      <c r="L13" s="178" t="inlineStr">
        <is>
          <t>Incremental revenue p.a. ($m)</t>
        </is>
      </c>
      <c r="N13" s="190" t="n">
        <v>15</v>
      </c>
      <c r="O13" s="180" t="inlineStr">
        <is>
          <t>A</t>
        </is>
      </c>
      <c r="P13" s="181" t="inlineStr">
        <is>
          <t>~6% p.a. plus nine bolt-ons under ONCAP, assumption</t>
        </is>
      </c>
    </row>
    <row r="14" ht="14.25" customHeight="1" s="148">
      <c r="B14" s="191" t="inlineStr">
        <is>
          <t>Simple P&amp;L</t>
        </is>
      </c>
      <c r="C14" s="192" t="n"/>
      <c r="D14" s="192" t="n"/>
      <c r="E14" s="174" t="n">
        <v>2010</v>
      </c>
      <c r="F14" s="174">
        <f>E14+1</f>
        <v/>
      </c>
      <c r="G14" s="174">
        <f>F14+1</f>
        <v/>
      </c>
      <c r="H14" s="174">
        <f>G14+1</f>
        <v/>
      </c>
      <c r="I14" s="174">
        <f>H14+1</f>
        <v/>
      </c>
      <c r="J14" s="174">
        <f>I14+1</f>
        <v/>
      </c>
      <c r="L14" s="178" t="inlineStr">
        <is>
          <t>EBITDA margin, base year</t>
        </is>
      </c>
      <c r="N14" s="186">
        <f>N6/N12</f>
        <v/>
      </c>
      <c r="O14" s="180" t="inlineStr">
        <is>
          <t>calc</t>
        </is>
      </c>
      <c r="P14" s="181" t="inlineStr">
        <is>
          <t>Derived</t>
        </is>
      </c>
    </row>
    <row r="15" ht="14.25" customHeight="1" s="148">
      <c r="B15" s="147" t="inlineStr">
        <is>
          <t>Revenue</t>
        </is>
      </c>
      <c r="E15" s="176">
        <f>N12</f>
        <v/>
      </c>
      <c r="F15" s="176">
        <f>E15+F16</f>
        <v/>
      </c>
      <c r="G15" s="176">
        <f>F15+G16</f>
        <v/>
      </c>
      <c r="H15" s="176">
        <f>G15+H16</f>
        <v/>
      </c>
      <c r="I15" s="176">
        <f>H15+I16</f>
        <v/>
      </c>
      <c r="J15" s="176">
        <f>I15+J16</f>
        <v/>
      </c>
      <c r="L15" s="178" t="inlineStr">
        <is>
          <t>D&amp;A p.a. ($m)</t>
        </is>
      </c>
      <c r="N15" s="190" t="n">
        <v>5</v>
      </c>
      <c r="O15" s="180" t="inlineStr">
        <is>
          <t>A</t>
        </is>
      </c>
      <c r="P15" s="181" t="inlineStr">
        <is>
          <t>Assumption</t>
        </is>
      </c>
    </row>
    <row r="16" ht="14.25" customHeight="1" s="148">
      <c r="B16" s="193" t="inlineStr">
        <is>
          <t>$ Incremental Revenue</t>
        </is>
      </c>
      <c r="F16" s="194">
        <f>N13</f>
        <v/>
      </c>
      <c r="G16" s="194">
        <f>F16</f>
        <v/>
      </c>
      <c r="H16" s="194">
        <f>G16</f>
        <v/>
      </c>
      <c r="I16" s="194">
        <f>H16</f>
        <v/>
      </c>
      <c r="J16" s="194">
        <f>I16</f>
        <v/>
      </c>
      <c r="L16" s="178" t="inlineStr">
        <is>
          <t>Capex p.a. ($m)</t>
        </is>
      </c>
      <c r="N16" s="190" t="n">
        <v>4</v>
      </c>
      <c r="O16" s="180" t="inlineStr">
        <is>
          <t>A</t>
        </is>
      </c>
      <c r="P16" s="181" t="inlineStr">
        <is>
          <t>Assumption</t>
        </is>
      </c>
    </row>
    <row r="17" ht="14.25" customHeight="1" s="148">
      <c r="L17" s="178" t="inlineStr">
        <is>
          <t>Change in NWC p.a. ($m, negative = investment)</t>
        </is>
      </c>
      <c r="N17" s="190" t="n">
        <v>-1</v>
      </c>
      <c r="O17" s="180" t="inlineStr">
        <is>
          <t>A</t>
        </is>
      </c>
      <c r="P17" s="181" t="inlineStr">
        <is>
          <t>Assumption</t>
        </is>
      </c>
    </row>
    <row r="18" ht="14.25" customHeight="1" s="148">
      <c r="B18" s="147" t="inlineStr">
        <is>
          <t>EBITDA</t>
        </is>
      </c>
      <c r="E18" s="176">
        <f>E19*E15</f>
        <v/>
      </c>
      <c r="F18" s="176">
        <f>F19*F15</f>
        <v/>
      </c>
      <c r="G18" s="176">
        <f>G19*G15</f>
        <v/>
      </c>
      <c r="H18" s="176">
        <f>H19*H15</f>
        <v/>
      </c>
      <c r="I18" s="176">
        <f>I19*I15</f>
        <v/>
      </c>
      <c r="J18" s="176">
        <f>J19*J15</f>
        <v/>
      </c>
      <c r="L18" s="178" t="inlineStr">
        <is>
          <t>Exit multiple (x)</t>
        </is>
      </c>
      <c r="N18" s="195" t="n">
        <v>7</v>
      </c>
      <c r="O18" s="180" t="inlineStr">
        <is>
          <t>A</t>
        </is>
      </c>
      <c r="P18" s="181" t="inlineStr">
        <is>
          <t>Assumed equal to entry (Herff Jones price undisclosed)</t>
        </is>
      </c>
    </row>
    <row r="19" ht="14.25" customHeight="1" s="148">
      <c r="B19" s="193" t="inlineStr">
        <is>
          <t>% margin</t>
        </is>
      </c>
      <c r="E19" s="196">
        <f>N14</f>
        <v/>
      </c>
      <c r="F19" s="196">
        <f>E19</f>
        <v/>
      </c>
      <c r="G19" s="196">
        <f>F19</f>
        <v/>
      </c>
      <c r="H19" s="196">
        <f>G19</f>
        <v/>
      </c>
      <c r="I19" s="196">
        <f>H19</f>
        <v/>
      </c>
      <c r="J19" s="196">
        <f>I19</f>
        <v/>
      </c>
      <c r="L19" s="178" t="inlineStr">
        <is>
          <t>Entry date</t>
        </is>
      </c>
      <c r="N19" s="197" t="n">
        <v>40395</v>
      </c>
      <c r="O19" s="180" t="inlineStr">
        <is>
          <t>F</t>
        </is>
      </c>
      <c r="P19" s="181" t="inlineStr">
        <is>
          <t>Closing date per filings</t>
        </is>
      </c>
    </row>
    <row r="20" ht="14.25" customHeight="1" s="148">
      <c r="L20" s="178" t="inlineStr">
        <is>
          <t>Underwritten exit date (5-year hold)</t>
        </is>
      </c>
      <c r="N20" s="198" t="n">
        <v>42221</v>
      </c>
      <c r="O20" s="180" t="inlineStr">
        <is>
          <t>A</t>
        </is>
      </c>
      <c r="P20" s="181" t="inlineStr">
        <is>
          <t>Template convention: five projection years</t>
        </is>
      </c>
    </row>
    <row r="21" ht="14.25" customHeight="1" s="148">
      <c r="B21" s="185" t="inlineStr">
        <is>
          <t>LFCF Build</t>
        </is>
      </c>
      <c r="L21" s="178" t="inlineStr">
        <is>
          <t>Actual exit / valuation date</t>
        </is>
      </c>
      <c r="N21" s="197" t="inlineStr">
        <is>
          <t>n/a</t>
        </is>
      </c>
      <c r="O21" s="180" t="inlineStr">
        <is>
          <t>F</t>
        </is>
      </c>
      <c r="P21" s="181" t="inlineStr">
        <is>
          <t>No realised exit</t>
        </is>
      </c>
    </row>
    <row r="22" ht="14.25" customHeight="1" s="148">
      <c r="B22" s="147" t="inlineStr">
        <is>
          <t>EBITDA</t>
        </is>
      </c>
      <c r="E22" s="199" t="n"/>
      <c r="F22" s="199">
        <f>F18</f>
        <v/>
      </c>
      <c r="G22" s="199">
        <f>G18</f>
        <v/>
      </c>
      <c r="H22" s="199">
        <f>H18</f>
        <v/>
      </c>
      <c r="I22" s="199">
        <f>I18</f>
        <v/>
      </c>
      <c r="J22" s="199">
        <f>J18</f>
        <v/>
      </c>
    </row>
    <row r="23" ht="14.25" customHeight="1" s="148">
      <c r="B23" s="147" t="inlineStr">
        <is>
          <t>(-) D&amp;A</t>
        </is>
      </c>
      <c r="E23" s="199" t="n"/>
      <c r="F23" s="199">
        <f>-$N$15</f>
        <v/>
      </c>
      <c r="G23" s="199">
        <f>-$N$15</f>
        <v/>
      </c>
      <c r="H23" s="199">
        <f>-$N$15</f>
        <v/>
      </c>
      <c r="I23" s="199">
        <f>-$N$15</f>
        <v/>
      </c>
      <c r="J23" s="199">
        <f>-$N$15</f>
        <v/>
      </c>
    </row>
    <row r="24" ht="14.25" customHeight="1" s="148">
      <c r="B24" s="188" t="inlineStr">
        <is>
          <t>EBIT</t>
        </is>
      </c>
      <c r="C24" s="188" t="n"/>
      <c r="D24" s="188" t="n"/>
      <c r="E24" s="200" t="n"/>
      <c r="F24" s="200">
        <f>F22+F23</f>
        <v/>
      </c>
      <c r="G24" s="200">
        <f>G22+G23</f>
        <v/>
      </c>
      <c r="H24" s="200">
        <f>H22+H23</f>
        <v/>
      </c>
      <c r="I24" s="200">
        <f>I22+I23</f>
        <v/>
      </c>
      <c r="J24" s="200">
        <f>J22+J23</f>
        <v/>
      </c>
    </row>
    <row r="25" ht="14.25" customHeight="1" s="148">
      <c r="B25" s="147" t="inlineStr">
        <is>
          <t>(-) Cash Interest</t>
        </is>
      </c>
      <c r="D25" s="196">
        <f>N10</f>
        <v/>
      </c>
      <c r="E25" s="199" t="n"/>
      <c r="F25" s="199">
        <f>$E$12*-$D$25</f>
        <v/>
      </c>
      <c r="G25" s="199">
        <f>$E$12*-$D$25</f>
        <v/>
      </c>
      <c r="H25" s="199">
        <f>$E$12*-$D$25</f>
        <v/>
      </c>
      <c r="I25" s="199">
        <f>$E$12*-$D$25</f>
        <v/>
      </c>
      <c r="J25" s="199">
        <f>$E$12*-$D$25</f>
        <v/>
      </c>
    </row>
    <row r="26" ht="14.25" customHeight="1" s="148">
      <c r="B26" s="188" t="inlineStr">
        <is>
          <t>EBT</t>
        </is>
      </c>
      <c r="C26" s="188" t="n"/>
      <c r="D26" s="188" t="n"/>
      <c r="E26" s="200" t="n"/>
      <c r="F26" s="200">
        <f>F24+F25</f>
        <v/>
      </c>
      <c r="G26" s="200">
        <f>G24+G25</f>
        <v/>
      </c>
      <c r="H26" s="200">
        <f>H24+H25</f>
        <v/>
      </c>
      <c r="I26" s="200">
        <f>I24+I25</f>
        <v/>
      </c>
      <c r="J26" s="200">
        <f>J24+J25</f>
        <v/>
      </c>
    </row>
    <row r="27" ht="14.25" customHeight="1" s="148">
      <c r="B27" s="147" t="inlineStr">
        <is>
          <t>(-) Taxes</t>
        </is>
      </c>
      <c r="D27" s="196">
        <f>N11</f>
        <v/>
      </c>
      <c r="E27" s="199" t="n"/>
      <c r="F27" s="199">
        <f>F26*-$D27</f>
        <v/>
      </c>
      <c r="G27" s="199">
        <f>G26*-$D27</f>
        <v/>
      </c>
      <c r="H27" s="199">
        <f>H26*-$D27</f>
        <v/>
      </c>
      <c r="I27" s="199">
        <f>I26*-$D27</f>
        <v/>
      </c>
      <c r="J27" s="199">
        <f>J26*-$D27</f>
        <v/>
      </c>
    </row>
    <row r="28" ht="14.25" customHeight="1" s="148">
      <c r="B28" s="188" t="inlineStr">
        <is>
          <t>Net Income</t>
        </is>
      </c>
      <c r="C28" s="188" t="n"/>
      <c r="D28" s="188" t="n"/>
      <c r="E28" s="200" t="n"/>
      <c r="F28" s="200">
        <f>F26+F27</f>
        <v/>
      </c>
      <c r="G28" s="200">
        <f>G26+G27</f>
        <v/>
      </c>
      <c r="H28" s="200">
        <f>H26+H27</f>
        <v/>
      </c>
      <c r="I28" s="200">
        <f>I26+I27</f>
        <v/>
      </c>
      <c r="J28" s="200">
        <f>J26+J27</f>
        <v/>
      </c>
    </row>
    <row r="29" ht="14.25" customHeight="1" s="148">
      <c r="B29" s="147" t="inlineStr">
        <is>
          <t>(+) D&amp;A</t>
        </is>
      </c>
      <c r="E29" s="199" t="n"/>
      <c r="F29" s="199">
        <f>-F23</f>
        <v/>
      </c>
      <c r="G29" s="199">
        <f>-G23</f>
        <v/>
      </c>
      <c r="H29" s="199">
        <f>-H23</f>
        <v/>
      </c>
      <c r="I29" s="199">
        <f>-I23</f>
        <v/>
      </c>
      <c r="J29" s="199">
        <f>-J23</f>
        <v/>
      </c>
    </row>
    <row r="30" ht="14.25" customHeight="1" s="148">
      <c r="B30" s="147" t="inlineStr">
        <is>
          <t>(-) Capex</t>
        </is>
      </c>
      <c r="E30" s="199" t="n"/>
      <c r="F30" s="199">
        <f>-$N$16</f>
        <v/>
      </c>
      <c r="G30" s="199">
        <f>-$N$16</f>
        <v/>
      </c>
      <c r="H30" s="199">
        <f>-$N$16</f>
        <v/>
      </c>
      <c r="I30" s="199">
        <f>-$N$16</f>
        <v/>
      </c>
      <c r="J30" s="199">
        <f>-$N$16</f>
        <v/>
      </c>
    </row>
    <row r="31" ht="14.25" customHeight="1" s="148">
      <c r="B31" s="147" t="inlineStr">
        <is>
          <t>(-) Change in NWC</t>
        </is>
      </c>
      <c r="E31" s="199" t="n"/>
      <c r="F31" s="199">
        <f>$N$17</f>
        <v/>
      </c>
      <c r="G31" s="199">
        <f>$N$17</f>
        <v/>
      </c>
      <c r="H31" s="199">
        <f>$N$17</f>
        <v/>
      </c>
      <c r="I31" s="199">
        <f>$N$17</f>
        <v/>
      </c>
      <c r="J31" s="199">
        <f>$N$17</f>
        <v/>
      </c>
    </row>
    <row r="32" ht="14.25" customHeight="1" s="148">
      <c r="B32" s="188" t="inlineStr">
        <is>
          <t>Levered FCF</t>
        </is>
      </c>
      <c r="C32" s="188" t="n"/>
      <c r="D32" s="188" t="n"/>
      <c r="E32" s="200" t="n"/>
      <c r="F32" s="200">
        <f>SUM(F28:F31)</f>
        <v/>
      </c>
      <c r="G32" s="200">
        <f>SUM(G28:G31)</f>
        <v/>
      </c>
      <c r="H32" s="200">
        <f>SUM(H28:H31)</f>
        <v/>
      </c>
      <c r="I32" s="200">
        <f>SUM(I28:I31)</f>
        <v/>
      </c>
      <c r="J32" s="200">
        <f>SUM(J28:J31)</f>
        <v/>
      </c>
    </row>
    <row r="33" ht="14.25" customHeight="1" s="148">
      <c r="B33" s="193" t="inlineStr">
        <is>
          <t>Cumulative LFCF</t>
        </is>
      </c>
      <c r="E33" s="199" t="n"/>
      <c r="F33" s="201">
        <f>SUM($E32:F32)</f>
        <v/>
      </c>
      <c r="G33" s="201">
        <f>SUM($E32:G32)</f>
        <v/>
      </c>
      <c r="H33" s="201">
        <f>SUM($E32:H32)</f>
        <v/>
      </c>
      <c r="I33" s="201">
        <f>SUM($E32:I32)</f>
        <v/>
      </c>
      <c r="J33" s="201">
        <f>SUM($E32:J32)</f>
        <v/>
      </c>
    </row>
    <row r="35" ht="14.25" customHeight="1" s="148">
      <c r="B35" s="191" t="inlineStr">
        <is>
          <t>Returns — UNDERWRITTEN CASE (template mechanics: interest on opening debt, all LFCF accumulates as cash)</t>
        </is>
      </c>
      <c r="C35" s="192" t="n"/>
      <c r="D35" s="192" t="n"/>
      <c r="E35" s="174" t="n"/>
      <c r="F35" s="174" t="n"/>
      <c r="G35" s="174" t="n"/>
      <c r="H35" s="174" t="n"/>
      <c r="I35" s="174" t="n"/>
      <c r="J35" s="174" t="n"/>
    </row>
    <row r="37" ht="14.25" customHeight="1" s="148">
      <c r="B37" s="147" t="inlineStr">
        <is>
          <t>Exit EBITDA (2015)</t>
        </is>
      </c>
      <c r="E37" s="199">
        <f>J18</f>
        <v/>
      </c>
    </row>
    <row r="38" ht="14.25" customHeight="1" s="148">
      <c r="B38" s="147" t="inlineStr">
        <is>
          <t>(x) Exit Multiple</t>
        </is>
      </c>
      <c r="E38" s="164">
        <f>N18</f>
        <v/>
      </c>
    </row>
    <row r="39" ht="14.25" customHeight="1" s="148">
      <c r="B39" s="202" t="inlineStr">
        <is>
          <t>Enterprise Value</t>
        </is>
      </c>
      <c r="C39" s="202" t="n"/>
      <c r="D39" s="202" t="n"/>
      <c r="E39" s="203">
        <f>E37*E38</f>
        <v/>
      </c>
    </row>
    <row r="40" ht="14.25" customHeight="1" s="148">
      <c r="B40" s="147" t="inlineStr">
        <is>
          <t>(-) Debt</t>
        </is>
      </c>
      <c r="E40" s="199">
        <f>-E12</f>
        <v/>
      </c>
    </row>
    <row r="41" ht="14.25" customHeight="1" s="148">
      <c r="B41" s="147" t="inlineStr">
        <is>
          <t>(+) Cash</t>
        </is>
      </c>
      <c r="E41" s="199">
        <f>J33</f>
        <v/>
      </c>
    </row>
    <row r="42" ht="14.25" customHeight="1" s="148">
      <c r="B42" s="202" t="inlineStr">
        <is>
          <t>Equity Value at Exit</t>
        </is>
      </c>
      <c r="C42" s="202" t="n"/>
      <c r="D42" s="202" t="n"/>
      <c r="E42" s="203">
        <f>SUM(E39:E41)</f>
        <v/>
      </c>
    </row>
    <row r="43" ht="14.25" customHeight="1" s="148">
      <c r="B43" s="147" t="inlineStr">
        <is>
          <t xml:space="preserve">Initial Equity Investment </t>
        </is>
      </c>
      <c r="E43" s="199">
        <f>E6</f>
        <v/>
      </c>
    </row>
    <row r="45" ht="14.25" customHeight="1" s="148">
      <c r="B45" s="147" t="inlineStr">
        <is>
          <t>MoM</t>
        </is>
      </c>
      <c r="E45" s="164">
        <f>E42/E43</f>
        <v/>
      </c>
    </row>
    <row r="46" ht="14.25" customHeight="1" s="148">
      <c r="B46" s="147" t="inlineStr">
        <is>
          <t>IRR</t>
        </is>
      </c>
      <c r="E46" s="177">
        <f>XIRR(E48:E49,B48:B49)</f>
        <v/>
      </c>
    </row>
    <row r="48" ht="14.25" customHeight="1" s="148">
      <c r="B48" s="204">
        <f>N19</f>
        <v/>
      </c>
      <c r="E48" s="199">
        <f>-E6</f>
        <v/>
      </c>
    </row>
    <row r="49" ht="14.25" customHeight="1" s="148">
      <c r="B49" s="204">
        <f>N20</f>
        <v/>
      </c>
      <c r="E49" s="199">
        <f>E42</f>
        <v/>
      </c>
    </row>
    <row r="52" ht="14.25" customHeight="1" s="148">
      <c r="B52" s="205" t="inlineStr">
        <is>
          <t>ACTUAL OUTCOME</t>
        </is>
      </c>
      <c r="C52" s="206" t="n"/>
      <c r="D52" s="206" t="n"/>
      <c r="E52" s="206" t="n"/>
      <c r="F52" s="206" t="n"/>
      <c r="G52" s="206" t="n"/>
      <c r="H52" s="206" t="n"/>
      <c r="I52" s="206" t="n"/>
      <c r="J52" s="206" t="n"/>
    </row>
    <row r="53" ht="14.25" customHeight="1" s="148">
      <c r="B53" s="207" t="inlineStr">
        <is>
          <t>Exit enterprise value, actual ($m)</t>
        </is>
      </c>
      <c r="E53" s="155" t="inlineStr">
        <is>
          <t>undisclosed</t>
        </is>
      </c>
    </row>
    <row r="54" ht="14.25" customHeight="1" s="148">
      <c r="B54" s="207" t="inlineStr">
        <is>
          <t>Debt at exit ($m)</t>
        </is>
      </c>
    </row>
    <row r="55" ht="14.25" customHeight="1" s="148">
      <c r="B55" s="207" t="inlineStr">
        <is>
          <t>Equity value at exit ($m)</t>
        </is>
      </c>
    </row>
    <row r="56" ht="14.25" customHeight="1" s="148">
      <c r="B56" s="207" t="inlineStr">
        <is>
          <t>Equity invested (from Sources) ($m)</t>
        </is>
      </c>
    </row>
    <row r="57" ht="14.25" customHeight="1" s="148">
      <c r="B57" s="207" t="inlineStr">
        <is>
          <t>MoM, actual</t>
        </is>
      </c>
    </row>
    <row r="58" ht="14.25" customHeight="1" s="148">
      <c r="B58" s="207" t="inlineStr">
        <is>
          <t>IRR, actual</t>
        </is>
      </c>
    </row>
    <row r="59" ht="14.25" customHeight="1" s="148">
      <c r="B59" s="207" t="inlineStr">
        <is>
          <t>MoM variance vs underwritten</t>
        </is>
      </c>
    </row>
    <row r="60" ht="14.25" customHeight="1" s="148">
      <c r="B60" s="207" t="inlineStr">
        <is>
          <t>IRR variance vs underwritten (pts)</t>
        </is>
      </c>
    </row>
    <row r="65" ht="14.25" customHeight="1" s="148">
      <c r="B65" s="163" t="inlineStr">
        <is>
          <t>Actual outcome note:</t>
        </is>
      </c>
    </row>
    <row r="66" ht="14.25" customHeight="1" s="148">
      <c r="B66" s="151" t="inlineStr">
        <is>
          <t>Exit price not disclosed by the parties.</t>
        </is>
      </c>
    </row>
    <row r="67" ht="14.25" customHeight="1" s="148"/>
    <row r="68" ht="14.25" customHeight="1" s="148"/>
    <row r="69" ht="14.25" customHeight="1" s="148"/>
    <row r="71" ht="14.25" customHeight="1" s="148">
      <c r="B71" s="163" t="inlineStr">
        <is>
          <t>Deal note:</t>
        </is>
      </c>
    </row>
    <row r="72" ht="14.25" customHeight="1" s="148">
      <c r="B72" s="151" t="inlineStr">
        <is>
          <t>Filed sources and uses: ONCAP $89.6m + management $3.5m equity, $74.6m term loan, $26.5m mezz. Entry 7.0x LTM / 7.2x FY2009 adjusted EBITDA.</t>
        </is>
      </c>
    </row>
    <row r="73" ht="14.25" customHeight="1" s="148"/>
    <row r="74" ht="14.25" customHeight="1" s="148"/>
    <row r="75" ht="14.25" customHeight="1" s="148"/>
    <row r="77" ht="14.25" customHeight="1" s="148">
      <c r="B77" s="155" t="inlineStr">
        <is>
          <t>Classification: Take-private with rollover  |  Status: Realised Jun-2013 (price undisclosed)</t>
        </is>
      </c>
    </row>
  </sheetData>
  <mergeCells count="5">
    <mergeCell ref="B4:E4"/>
    <mergeCell ref="G4:J4"/>
    <mergeCell ref="B66:J69"/>
    <mergeCell ref="B72:J75"/>
    <mergeCell ref="B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44546A"/>
    <outlinePr summaryBelow="1" summaryRight="1"/>
    <pageSetUpPr fitToPage="0"/>
  </sheetPr>
  <dimension ref="B2:P77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.45" customWidth="1" style="147" min="2" max="2"/>
    <col width="10.45" customWidth="1" style="147" min="6" max="6"/>
    <col width="30" customWidth="1" style="147" min="12" max="12"/>
    <col width="3" customWidth="1" style="147" min="13" max="13"/>
    <col width="14" customWidth="1" style="147" min="14" max="14"/>
    <col width="6" customWidth="1" style="147" min="15" max="15"/>
    <col width="70" customWidth="1" style="147" min="16" max="16"/>
  </cols>
  <sheetData>
    <row r="2" ht="17.35" customHeight="1" s="148">
      <c r="B2" s="173" t="inlineStr">
        <is>
          <t>Cerberus / Chrysler (2007-09) — Paper LBO</t>
        </is>
      </c>
    </row>
    <row r="4" ht="14.25" customHeight="1" s="148">
      <c r="B4" s="174" t="inlineStr">
        <is>
          <t>Sources</t>
        </is>
      </c>
      <c r="G4" s="174" t="inlineStr">
        <is>
          <t>Uses</t>
        </is>
      </c>
      <c r="L4" s="175" t="inlineStr">
        <is>
          <t>INPUTS</t>
        </is>
      </c>
      <c r="N4" s="175" t="inlineStr">
        <is>
          <t>Value</t>
        </is>
      </c>
      <c r="O4" s="175" t="inlineStr">
        <is>
          <t>Tag</t>
        </is>
      </c>
      <c r="P4" s="175" t="inlineStr">
        <is>
          <t>Source  (F = filed / rating agency, P = press, A = assumption; blue = assumption)</t>
        </is>
      </c>
    </row>
    <row r="5" ht="22.35" customHeight="1" s="148">
      <c r="B5" s="147" t="inlineStr">
        <is>
          <t>Debt</t>
        </is>
      </c>
      <c r="E5" s="176">
        <f>E12</f>
        <v/>
      </c>
      <c r="F5" s="177" t="n"/>
      <c r="G5" s="147" t="inlineStr">
        <is>
          <t>Purchase Price</t>
        </is>
      </c>
      <c r="J5" s="176">
        <f>J12</f>
        <v/>
      </c>
      <c r="L5" s="178" t="inlineStr">
        <is>
          <t>Entry enterprise value ($m)</t>
        </is>
      </c>
      <c r="N5" s="179" t="n">
        <v>17400</v>
      </c>
      <c r="O5" s="180" t="inlineStr">
        <is>
          <t>F</t>
        </is>
      </c>
      <c r="P5" s="181" t="inlineStr">
        <is>
          <t>Cerberus equity into Chrysler Corp LLC $5.4bn (Daimler AR 2007 / TTAC) + $12bn acquisition debt</t>
        </is>
      </c>
    </row>
    <row r="6" ht="22.35" customHeight="1" s="148">
      <c r="B6" s="147" t="inlineStr">
        <is>
          <t>Equity (plug)</t>
        </is>
      </c>
      <c r="E6" s="176">
        <f>E7-E5</f>
        <v/>
      </c>
      <c r="L6" s="178" t="inlineStr">
        <is>
          <t>Entry EBITDA, LTM ($m)</t>
        </is>
      </c>
      <c r="N6" s="190" t="n">
        <v>1500</v>
      </c>
      <c r="O6" s="180" t="inlineStr">
        <is>
          <t>A</t>
        </is>
      </c>
      <c r="P6" s="181" t="inlineStr">
        <is>
          <t>Assumption: 2006 operating loss EUR(1,118)m plus segment D&amp;A (not disclosed at segment level; group D&amp;A implies ~$2.5-3bn incl. leasing)</t>
        </is>
      </c>
    </row>
    <row r="7" ht="14.25" customHeight="1" s="148">
      <c r="B7" s="182" t="inlineStr">
        <is>
          <t>Total Sources</t>
        </is>
      </c>
      <c r="C7" s="182" t="n"/>
      <c r="D7" s="182" t="n"/>
      <c r="E7" s="183">
        <f>J7</f>
        <v/>
      </c>
      <c r="G7" s="182" t="inlineStr">
        <is>
          <t>Total Uses</t>
        </is>
      </c>
      <c r="H7" s="182" t="n"/>
      <c r="I7" s="182" t="n"/>
      <c r="J7" s="183">
        <f>J5</f>
        <v/>
      </c>
      <c r="L7" s="178" t="inlineStr">
        <is>
          <t>Entry multiple (x)</t>
        </is>
      </c>
      <c r="N7" s="184">
        <f>N5/N6</f>
        <v/>
      </c>
      <c r="O7" s="180" t="inlineStr">
        <is>
          <t>calc</t>
        </is>
      </c>
      <c r="P7" s="181" t="inlineStr">
        <is>
          <t>Derived</t>
        </is>
      </c>
    </row>
    <row r="8" ht="22.35" customHeight="1" s="148">
      <c r="L8" s="178" t="inlineStr">
        <is>
          <t>Debt raised ($m)</t>
        </is>
      </c>
      <c r="N8" s="179" t="n">
        <v>12000</v>
      </c>
      <c r="O8" s="180" t="inlineStr">
        <is>
          <t>F</t>
        </is>
      </c>
      <c r="P8" s="181" t="inlineStr">
        <is>
          <t>$10bn first-lien TL + $2bn second-lien (Moody's / S&amp;P, Jul-Aug 2007); $2.5bn of the 1L sat in a collateral account</t>
        </is>
      </c>
    </row>
    <row r="9" ht="14.25" customHeight="1" s="148">
      <c r="B9" s="185" t="inlineStr">
        <is>
          <t>Build to Debt</t>
        </is>
      </c>
      <c r="G9" s="185" t="inlineStr">
        <is>
          <t>Build to Purchase Price</t>
        </is>
      </c>
      <c r="L9" s="178" t="inlineStr">
        <is>
          <t>Leverage (x EBITDA)</t>
        </is>
      </c>
      <c r="N9" s="184">
        <f>N8/N6</f>
        <v/>
      </c>
      <c r="O9" s="180" t="inlineStr">
        <is>
          <t>calc</t>
        </is>
      </c>
      <c r="P9" s="181" t="inlineStr">
        <is>
          <t>Derived</t>
        </is>
      </c>
    </row>
    <row r="10" ht="22.35" customHeight="1" s="148">
      <c r="B10" s="147" t="inlineStr">
        <is>
          <t>2006 EBITDA (LTM)</t>
        </is>
      </c>
      <c r="E10" s="176">
        <f>E18</f>
        <v/>
      </c>
      <c r="G10" s="147" t="inlineStr">
        <is>
          <t>2006 EBITDA (LTM)</t>
        </is>
      </c>
      <c r="J10" s="176">
        <f>E18</f>
        <v/>
      </c>
      <c r="L10" s="178" t="inlineStr">
        <is>
          <t>Blended cash interest rate</t>
        </is>
      </c>
      <c r="N10" s="187" t="n">
        <v>0.091</v>
      </c>
      <c r="O10" s="180" t="inlineStr">
        <is>
          <t>A</t>
        </is>
      </c>
      <c r="P10" s="181" t="inlineStr">
        <is>
          <t>1L assumed ~8.5% and 2L ~12% (spreads/OIDs after the failed July-2007 syndication not found)</t>
        </is>
      </c>
    </row>
    <row r="11" ht="14.25" customHeight="1" s="148">
      <c r="B11" s="147" t="inlineStr">
        <is>
          <t>(x) Leverage</t>
        </is>
      </c>
      <c r="E11" s="164">
        <f>N9</f>
        <v/>
      </c>
      <c r="G11" s="147" t="inlineStr">
        <is>
          <t>(x) Multiple of 2023 EBITDA</t>
        </is>
      </c>
      <c r="J11" s="164">
        <f>N7</f>
        <v/>
      </c>
      <c r="L11" s="178" t="inlineStr">
        <is>
          <t>Tax rate</t>
        </is>
      </c>
      <c r="N11" s="187" t="n">
        <v>0.35</v>
      </c>
      <c r="O11" s="180" t="inlineStr">
        <is>
          <t>A</t>
        </is>
      </c>
      <c r="P11" s="181" t="inlineStr">
        <is>
          <t>Assumption</t>
        </is>
      </c>
    </row>
    <row r="12" ht="14.25" customHeight="1" s="148">
      <c r="B12" s="188" t="inlineStr">
        <is>
          <t>Debt</t>
        </is>
      </c>
      <c r="C12" s="188" t="n"/>
      <c r="D12" s="188" t="n"/>
      <c r="E12" s="189">
        <f>E10*E11</f>
        <v/>
      </c>
      <c r="G12" s="188" t="inlineStr">
        <is>
          <t>Purchase Price</t>
        </is>
      </c>
      <c r="H12" s="188" t="n"/>
      <c r="I12" s="188" t="n"/>
      <c r="J12" s="189">
        <f>J10*J11</f>
        <v/>
      </c>
      <c r="L12" s="178" t="inlineStr">
        <is>
          <t>Base-year revenue ($m)</t>
        </is>
      </c>
      <c r="N12" s="179" t="n">
        <v>59000</v>
      </c>
      <c r="O12" s="180" t="inlineStr">
        <is>
          <t>F</t>
        </is>
      </c>
      <c r="P12" s="181" t="inlineStr">
        <is>
          <t>Chrysler Group 2006 revenue EUR47,116m (DaimlerChrysler 20-F) at ~1.25 $/EUR</t>
        </is>
      </c>
    </row>
    <row r="13" ht="14.25" customHeight="1" s="148">
      <c r="L13" s="178" t="inlineStr">
        <is>
          <t>Incremental revenue p.a. ($m)</t>
        </is>
      </c>
      <c r="N13" s="190" t="n">
        <v>0</v>
      </c>
      <c r="O13" s="180" t="inlineStr">
        <is>
          <t>A</t>
        </is>
      </c>
      <c r="P13" s="181" t="inlineStr">
        <is>
          <t>Sponsor case: flat revenue, margin recovery via Nardelli cost plan</t>
        </is>
      </c>
    </row>
    <row r="14" ht="14.25" customHeight="1" s="148">
      <c r="B14" s="191" t="inlineStr">
        <is>
          <t>Simple P&amp;L</t>
        </is>
      </c>
      <c r="C14" s="192" t="n"/>
      <c r="D14" s="192" t="n"/>
      <c r="E14" s="174" t="n">
        <v>2006</v>
      </c>
      <c r="F14" s="174">
        <f>E14+1</f>
        <v/>
      </c>
      <c r="G14" s="174">
        <f>F14+1</f>
        <v/>
      </c>
      <c r="H14" s="174">
        <f>G14+1</f>
        <v/>
      </c>
      <c r="I14" s="174">
        <f>H14+1</f>
        <v/>
      </c>
      <c r="J14" s="174">
        <f>I14+1</f>
        <v/>
      </c>
      <c r="L14" s="178" t="inlineStr">
        <is>
          <t>EBITDA margin, base year</t>
        </is>
      </c>
      <c r="N14" s="186">
        <f>N6/N12</f>
        <v/>
      </c>
      <c r="O14" s="180" t="inlineStr">
        <is>
          <t>calc</t>
        </is>
      </c>
      <c r="P14" s="181" t="inlineStr">
        <is>
          <t>Derived</t>
        </is>
      </c>
    </row>
    <row r="15" ht="14.25" customHeight="1" s="148">
      <c r="B15" s="147" t="inlineStr">
        <is>
          <t>Revenue</t>
        </is>
      </c>
      <c r="E15" s="176">
        <f>N12</f>
        <v/>
      </c>
      <c r="F15" s="176">
        <f>E15+F16</f>
        <v/>
      </c>
      <c r="G15" s="176">
        <f>F15+G16</f>
        <v/>
      </c>
      <c r="H15" s="176">
        <f>G15+H16</f>
        <v/>
      </c>
      <c r="I15" s="176">
        <f>H15+I16</f>
        <v/>
      </c>
      <c r="J15" s="176">
        <f>I15+J16</f>
        <v/>
      </c>
      <c r="L15" s="178" t="inlineStr">
        <is>
          <t>D&amp;A p.a. ($m)</t>
        </is>
      </c>
      <c r="N15" s="190" t="n">
        <v>2800</v>
      </c>
      <c r="O15" s="180" t="inlineStr">
        <is>
          <t>A</t>
        </is>
      </c>
      <c r="P15" s="181" t="inlineStr">
        <is>
          <t>Assumption ~4.7% of revenue</t>
        </is>
      </c>
    </row>
    <row r="16" ht="14.25" customHeight="1" s="148">
      <c r="B16" s="193" t="inlineStr">
        <is>
          <t>$ Incremental Revenue</t>
        </is>
      </c>
      <c r="F16" s="194">
        <f>N13</f>
        <v/>
      </c>
      <c r="G16" s="194">
        <f>F16</f>
        <v/>
      </c>
      <c r="H16" s="194">
        <f>G16</f>
        <v/>
      </c>
      <c r="I16" s="194">
        <f>H16</f>
        <v/>
      </c>
      <c r="J16" s="194">
        <f>I16</f>
        <v/>
      </c>
      <c r="L16" s="178" t="inlineStr">
        <is>
          <t>Capex p.a. ($m)</t>
        </is>
      </c>
      <c r="N16" s="179" t="n">
        <v>2000</v>
      </c>
      <c r="O16" s="180" t="inlineStr">
        <is>
          <t>F</t>
        </is>
      </c>
      <c r="P16" s="181" t="inlineStr">
        <is>
          <t>2006 capex EUR1,251m; assumed ~$2.0bn</t>
        </is>
      </c>
    </row>
    <row r="17" ht="14.25" customHeight="1" s="148">
      <c r="L17" s="178" t="inlineStr">
        <is>
          <t>Change in NWC p.a. ($m, negative = investment)</t>
        </is>
      </c>
      <c r="N17" s="190" t="n">
        <v>0</v>
      </c>
      <c r="O17" s="180" t="inlineStr">
        <is>
          <t>A</t>
        </is>
      </c>
      <c r="P17" s="181" t="inlineStr">
        <is>
          <t>Assumed flat</t>
        </is>
      </c>
    </row>
    <row r="18" ht="14.25" customHeight="1" s="148">
      <c r="B18" s="147" t="inlineStr">
        <is>
          <t>EBITDA</t>
        </is>
      </c>
      <c r="E18" s="176">
        <f>E19*E15</f>
        <v/>
      </c>
      <c r="F18" s="176">
        <f>F19*F15</f>
        <v/>
      </c>
      <c r="G18" s="176">
        <f>G19*G15</f>
        <v/>
      </c>
      <c r="H18" s="176">
        <f>H19*H15</f>
        <v/>
      </c>
      <c r="I18" s="176">
        <f>I19*I15</f>
        <v/>
      </c>
      <c r="J18" s="176">
        <f>J19*J15</f>
        <v/>
      </c>
      <c r="L18" s="178" t="inlineStr">
        <is>
          <t>Exit multiple (x)</t>
        </is>
      </c>
      <c r="N18" s="195" t="n">
        <v>6</v>
      </c>
      <c r="O18" s="180" t="inlineStr">
        <is>
          <t>A</t>
        </is>
      </c>
      <c r="P18" s="181" t="inlineStr">
        <is>
          <t>Auto OEM exit multiple, assumption</t>
        </is>
      </c>
    </row>
    <row r="19" ht="14.25" customHeight="1" s="148">
      <c r="B19" s="193" t="inlineStr">
        <is>
          <t>% margin</t>
        </is>
      </c>
      <c r="E19" s="210">
        <f>N14</f>
        <v/>
      </c>
      <c r="F19" s="211" t="n">
        <v>0.035</v>
      </c>
      <c r="G19" s="211" t="n">
        <v>0.045</v>
      </c>
      <c r="H19" s="211" t="n">
        <v>0.055</v>
      </c>
      <c r="I19" s="211" t="n">
        <v>0.06</v>
      </c>
      <c r="J19" s="211" t="n">
        <v>0.06</v>
      </c>
      <c r="L19" s="178" t="inlineStr">
        <is>
          <t>Entry date</t>
        </is>
      </c>
      <c r="N19" s="197" t="n">
        <v>39297</v>
      </c>
      <c r="O19" s="180" t="inlineStr">
        <is>
          <t>F</t>
        </is>
      </c>
      <c r="P19" s="181" t="inlineStr">
        <is>
          <t>Closing date per filings</t>
        </is>
      </c>
    </row>
    <row r="20" ht="14.25" customHeight="1" s="148">
      <c r="L20" s="178" t="inlineStr">
        <is>
          <t>Underwritten exit date (5-year hold)</t>
        </is>
      </c>
      <c r="N20" s="198" t="n">
        <v>41124</v>
      </c>
      <c r="O20" s="180" t="inlineStr">
        <is>
          <t>A</t>
        </is>
      </c>
      <c r="P20" s="181" t="inlineStr">
        <is>
          <t>Template convention: five projection years</t>
        </is>
      </c>
    </row>
    <row r="21" ht="14.25" customHeight="1" s="148">
      <c r="B21" s="185" t="inlineStr">
        <is>
          <t>LFCF Build</t>
        </is>
      </c>
      <c r="L21" s="178" t="inlineStr">
        <is>
          <t>Actual exit / valuation date</t>
        </is>
      </c>
      <c r="N21" s="197" t="n">
        <v>39933</v>
      </c>
      <c r="O21" s="180" t="inlineStr">
        <is>
          <t>F</t>
        </is>
      </c>
      <c r="P21" s="181" t="inlineStr">
        <is>
          <t>Realised exit date per filings</t>
        </is>
      </c>
    </row>
    <row r="22" ht="14.25" customHeight="1" s="148">
      <c r="B22" s="147" t="inlineStr">
        <is>
          <t>EBITDA</t>
        </is>
      </c>
      <c r="E22" s="199" t="n"/>
      <c r="F22" s="199">
        <f>F18</f>
        <v/>
      </c>
      <c r="G22" s="199">
        <f>G18</f>
        <v/>
      </c>
      <c r="H22" s="199">
        <f>H18</f>
        <v/>
      </c>
      <c r="I22" s="199">
        <f>I18</f>
        <v/>
      </c>
      <c r="J22" s="199">
        <f>J18</f>
        <v/>
      </c>
    </row>
    <row r="23" ht="14.25" customHeight="1" s="148">
      <c r="B23" s="147" t="inlineStr">
        <is>
          <t>(-) D&amp;A</t>
        </is>
      </c>
      <c r="E23" s="199" t="n"/>
      <c r="F23" s="199">
        <f>-$N$15</f>
        <v/>
      </c>
      <c r="G23" s="199">
        <f>-$N$15</f>
        <v/>
      </c>
      <c r="H23" s="199">
        <f>-$N$15</f>
        <v/>
      </c>
      <c r="I23" s="199">
        <f>-$N$15</f>
        <v/>
      </c>
      <c r="J23" s="199">
        <f>-$N$15</f>
        <v/>
      </c>
    </row>
    <row r="24" ht="14.25" customHeight="1" s="148">
      <c r="B24" s="188" t="inlineStr">
        <is>
          <t>EBIT</t>
        </is>
      </c>
      <c r="C24" s="188" t="n"/>
      <c r="D24" s="188" t="n"/>
      <c r="E24" s="200" t="n"/>
      <c r="F24" s="200">
        <f>F22+F23</f>
        <v/>
      </c>
      <c r="G24" s="200">
        <f>G22+G23</f>
        <v/>
      </c>
      <c r="H24" s="200">
        <f>H22+H23</f>
        <v/>
      </c>
      <c r="I24" s="200">
        <f>I22+I23</f>
        <v/>
      </c>
      <c r="J24" s="200">
        <f>J22+J23</f>
        <v/>
      </c>
    </row>
    <row r="25" ht="14.25" customHeight="1" s="148">
      <c r="B25" s="147" t="inlineStr">
        <is>
          <t>(-) Cash Interest</t>
        </is>
      </c>
      <c r="D25" s="196">
        <f>N10</f>
        <v/>
      </c>
      <c r="E25" s="199" t="n"/>
      <c r="F25" s="199">
        <f>$E$12*-$D$25</f>
        <v/>
      </c>
      <c r="G25" s="199">
        <f>$E$12*-$D$25</f>
        <v/>
      </c>
      <c r="H25" s="199">
        <f>$E$12*-$D$25</f>
        <v/>
      </c>
      <c r="I25" s="199">
        <f>$E$12*-$D$25</f>
        <v/>
      </c>
      <c r="J25" s="199">
        <f>$E$12*-$D$25</f>
        <v/>
      </c>
    </row>
    <row r="26" ht="14.25" customHeight="1" s="148">
      <c r="B26" s="188" t="inlineStr">
        <is>
          <t>EBT</t>
        </is>
      </c>
      <c r="C26" s="188" t="n"/>
      <c r="D26" s="188" t="n"/>
      <c r="E26" s="200" t="n"/>
      <c r="F26" s="200">
        <f>F24+F25</f>
        <v/>
      </c>
      <c r="G26" s="200">
        <f>G24+G25</f>
        <v/>
      </c>
      <c r="H26" s="200">
        <f>H24+H25</f>
        <v/>
      </c>
      <c r="I26" s="200">
        <f>I24+I25</f>
        <v/>
      </c>
      <c r="J26" s="200">
        <f>J24+J25</f>
        <v/>
      </c>
    </row>
    <row r="27" ht="14.25" customHeight="1" s="148">
      <c r="B27" s="147" t="inlineStr">
        <is>
          <t>(-) Taxes</t>
        </is>
      </c>
      <c r="D27" s="196">
        <f>N11</f>
        <v/>
      </c>
      <c r="E27" s="199" t="n"/>
      <c r="F27" s="199">
        <f>F26*-$D27</f>
        <v/>
      </c>
      <c r="G27" s="199">
        <f>G26*-$D27</f>
        <v/>
      </c>
      <c r="H27" s="199">
        <f>H26*-$D27</f>
        <v/>
      </c>
      <c r="I27" s="199">
        <f>I26*-$D27</f>
        <v/>
      </c>
      <c r="J27" s="199">
        <f>J26*-$D27</f>
        <v/>
      </c>
    </row>
    <row r="28" ht="14.25" customHeight="1" s="148">
      <c r="B28" s="188" t="inlineStr">
        <is>
          <t>Net Income</t>
        </is>
      </c>
      <c r="C28" s="188" t="n"/>
      <c r="D28" s="188" t="n"/>
      <c r="E28" s="200" t="n"/>
      <c r="F28" s="200">
        <f>F26+F27</f>
        <v/>
      </c>
      <c r="G28" s="200">
        <f>G26+G27</f>
        <v/>
      </c>
      <c r="H28" s="200">
        <f>H26+H27</f>
        <v/>
      </c>
      <c r="I28" s="200">
        <f>I26+I27</f>
        <v/>
      </c>
      <c r="J28" s="200">
        <f>J26+J27</f>
        <v/>
      </c>
    </row>
    <row r="29" ht="14.25" customHeight="1" s="148">
      <c r="B29" s="147" t="inlineStr">
        <is>
          <t>(+) D&amp;A</t>
        </is>
      </c>
      <c r="E29" s="199" t="n"/>
      <c r="F29" s="199">
        <f>-F23</f>
        <v/>
      </c>
      <c r="G29" s="199">
        <f>-G23</f>
        <v/>
      </c>
      <c r="H29" s="199">
        <f>-H23</f>
        <v/>
      </c>
      <c r="I29" s="199">
        <f>-I23</f>
        <v/>
      </c>
      <c r="J29" s="199">
        <f>-J23</f>
        <v/>
      </c>
    </row>
    <row r="30" ht="14.25" customHeight="1" s="148">
      <c r="B30" s="147" t="inlineStr">
        <is>
          <t>(-) Capex</t>
        </is>
      </c>
      <c r="E30" s="199" t="n"/>
      <c r="F30" s="199">
        <f>-$N$16</f>
        <v/>
      </c>
      <c r="G30" s="199">
        <f>-$N$16</f>
        <v/>
      </c>
      <c r="H30" s="199">
        <f>-$N$16</f>
        <v/>
      </c>
      <c r="I30" s="199">
        <f>-$N$16</f>
        <v/>
      </c>
      <c r="J30" s="199">
        <f>-$N$16</f>
        <v/>
      </c>
    </row>
    <row r="31" ht="14.25" customHeight="1" s="148">
      <c r="B31" s="147" t="inlineStr">
        <is>
          <t>(-) Change in NWC</t>
        </is>
      </c>
      <c r="E31" s="199" t="n"/>
      <c r="F31" s="199">
        <f>$N$17</f>
        <v/>
      </c>
      <c r="G31" s="199">
        <f>$N$17</f>
        <v/>
      </c>
      <c r="H31" s="199">
        <f>$N$17</f>
        <v/>
      </c>
      <c r="I31" s="199">
        <f>$N$17</f>
        <v/>
      </c>
      <c r="J31" s="199">
        <f>$N$17</f>
        <v/>
      </c>
    </row>
    <row r="32" ht="14.25" customHeight="1" s="148">
      <c r="B32" s="188" t="inlineStr">
        <is>
          <t>Levered FCF</t>
        </is>
      </c>
      <c r="C32" s="188" t="n"/>
      <c r="D32" s="188" t="n"/>
      <c r="E32" s="200" t="n"/>
      <c r="F32" s="200">
        <f>SUM(F28:F31)</f>
        <v/>
      </c>
      <c r="G32" s="200">
        <f>SUM(G28:G31)</f>
        <v/>
      </c>
      <c r="H32" s="200">
        <f>SUM(H28:H31)</f>
        <v/>
      </c>
      <c r="I32" s="200">
        <f>SUM(I28:I31)</f>
        <v/>
      </c>
      <c r="J32" s="200">
        <f>SUM(J28:J31)</f>
        <v/>
      </c>
    </row>
    <row r="33" ht="14.25" customHeight="1" s="148">
      <c r="B33" s="193" t="inlineStr">
        <is>
          <t>Cumulative LFCF</t>
        </is>
      </c>
      <c r="E33" s="199" t="n"/>
      <c r="F33" s="201">
        <f>SUM($E32:F32)</f>
        <v/>
      </c>
      <c r="G33" s="201">
        <f>SUM($E32:G32)</f>
        <v/>
      </c>
      <c r="H33" s="201">
        <f>SUM($E32:H32)</f>
        <v/>
      </c>
      <c r="I33" s="201">
        <f>SUM($E32:I32)</f>
        <v/>
      </c>
      <c r="J33" s="201">
        <f>SUM($E32:J32)</f>
        <v/>
      </c>
    </row>
    <row r="35" ht="14.25" customHeight="1" s="148">
      <c r="B35" s="191" t="inlineStr">
        <is>
          <t>Returns — UNDERWRITTEN CASE (template mechanics: interest on opening debt, all LFCF accumulates as cash)</t>
        </is>
      </c>
      <c r="C35" s="192" t="n"/>
      <c r="D35" s="192" t="n"/>
      <c r="E35" s="174" t="n"/>
      <c r="F35" s="174" t="n"/>
      <c r="G35" s="174" t="n"/>
      <c r="H35" s="174" t="n"/>
      <c r="I35" s="174" t="n"/>
      <c r="J35" s="174" t="n"/>
    </row>
    <row r="37" ht="14.25" customHeight="1" s="148">
      <c r="B37" s="147" t="inlineStr">
        <is>
          <t>Exit EBITDA (2011)</t>
        </is>
      </c>
      <c r="E37" s="199">
        <f>J18</f>
        <v/>
      </c>
    </row>
    <row r="38" ht="14.25" customHeight="1" s="148">
      <c r="B38" s="147" t="inlineStr">
        <is>
          <t>(x) Exit Multiple</t>
        </is>
      </c>
      <c r="E38" s="164">
        <f>N18</f>
        <v/>
      </c>
    </row>
    <row r="39" ht="14.25" customHeight="1" s="148">
      <c r="B39" s="202" t="inlineStr">
        <is>
          <t>Enterprise Value</t>
        </is>
      </c>
      <c r="C39" s="202" t="n"/>
      <c r="D39" s="202" t="n"/>
      <c r="E39" s="203">
        <f>E37*E38</f>
        <v/>
      </c>
    </row>
    <row r="40" ht="14.25" customHeight="1" s="148">
      <c r="B40" s="147" t="inlineStr">
        <is>
          <t>(-) Debt</t>
        </is>
      </c>
      <c r="E40" s="199">
        <f>-E12</f>
        <v/>
      </c>
    </row>
    <row r="41" ht="14.25" customHeight="1" s="148">
      <c r="B41" s="147" t="inlineStr">
        <is>
          <t>(+) Cash</t>
        </is>
      </c>
      <c r="E41" s="199">
        <f>J33</f>
        <v/>
      </c>
    </row>
    <row r="42" ht="14.25" customHeight="1" s="148">
      <c r="B42" s="202" t="inlineStr">
        <is>
          <t>Equity Value at Exit</t>
        </is>
      </c>
      <c r="C42" s="202" t="n"/>
      <c r="D42" s="202" t="n"/>
      <c r="E42" s="203">
        <f>SUM(E39:E41)</f>
        <v/>
      </c>
    </row>
    <row r="43" ht="14.25" customHeight="1" s="148">
      <c r="B43" s="147" t="inlineStr">
        <is>
          <t xml:space="preserve">Initial Equity Investment </t>
        </is>
      </c>
      <c r="E43" s="199">
        <f>E6</f>
        <v/>
      </c>
    </row>
    <row r="45" ht="14.25" customHeight="1" s="148">
      <c r="B45" s="147" t="inlineStr">
        <is>
          <t>MoM</t>
        </is>
      </c>
      <c r="E45" s="164">
        <f>E42/E43</f>
        <v/>
      </c>
    </row>
    <row r="46" ht="14.25" customHeight="1" s="148">
      <c r="B46" s="147" t="inlineStr">
        <is>
          <t>IRR</t>
        </is>
      </c>
      <c r="E46" s="177">
        <f>XIRR(E48:E49,B48:B49)</f>
        <v/>
      </c>
    </row>
    <row r="48" ht="14.25" customHeight="1" s="148">
      <c r="B48" s="204">
        <f>N19</f>
        <v/>
      </c>
      <c r="E48" s="199">
        <f>-E6</f>
        <v/>
      </c>
    </row>
    <row r="49" ht="14.25" customHeight="1" s="148">
      <c r="B49" s="204">
        <f>N20</f>
        <v/>
      </c>
      <c r="E49" s="199">
        <f>E42</f>
        <v/>
      </c>
    </row>
    <row r="52" ht="14.25" customHeight="1" s="148">
      <c r="B52" s="205" t="inlineStr">
        <is>
          <t>ACTUAL OUTCOME</t>
        </is>
      </c>
      <c r="C52" s="206" t="n"/>
      <c r="D52" s="206" t="n"/>
      <c r="E52" s="206" t="n"/>
      <c r="F52" s="206" t="n"/>
      <c r="G52" s="206" t="n"/>
      <c r="H52" s="206" t="n"/>
      <c r="I52" s="206" t="n"/>
      <c r="J52" s="206" t="n"/>
    </row>
    <row r="53" ht="14.25" customHeight="1" s="148">
      <c r="B53" s="207" t="inlineStr">
        <is>
          <t>Exit enterprise value, actual ($m)</t>
        </is>
      </c>
      <c r="E53" s="208" t="n">
        <v>2000</v>
      </c>
    </row>
    <row r="54" ht="14.25" customHeight="1" s="148">
      <c r="B54" s="207" t="inlineStr">
        <is>
          <t>Debt at exit ($m)</t>
        </is>
      </c>
      <c r="E54" s="208" t="n">
        <v>6900</v>
      </c>
    </row>
    <row r="55" ht="14.25" customHeight="1" s="148">
      <c r="B55" s="207" t="inlineStr">
        <is>
          <t>Equity value at exit ($m)</t>
        </is>
      </c>
      <c r="E55" s="165">
        <f>E53-E54</f>
        <v/>
      </c>
    </row>
    <row r="56" ht="14.25" customHeight="1" s="148">
      <c r="B56" s="207" t="inlineStr">
        <is>
          <t>Equity invested (from Sources) ($m)</t>
        </is>
      </c>
      <c r="E56" s="165">
        <f>E6</f>
        <v/>
      </c>
    </row>
    <row r="57" ht="14.25" customHeight="1" s="148">
      <c r="B57" s="207" t="inlineStr">
        <is>
          <t>MoM, actual</t>
        </is>
      </c>
      <c r="E57" s="164">
        <f>E55/E56</f>
        <v/>
      </c>
    </row>
    <row r="58" ht="14.25" customHeight="1" s="148">
      <c r="B58" s="207" t="inlineStr">
        <is>
          <t>IRR, actual</t>
        </is>
      </c>
      <c r="E58" s="209">
        <f>IFERROR(XIRR(E62:E63,B62:B63),"n/m")</f>
        <v/>
      </c>
    </row>
    <row r="59" ht="14.25" customHeight="1" s="148">
      <c r="B59" s="207" t="inlineStr">
        <is>
          <t>MoM variance vs underwritten</t>
        </is>
      </c>
      <c r="E59" s="164">
        <f>E57-E45</f>
        <v/>
      </c>
    </row>
    <row r="60" ht="14.25" customHeight="1" s="148">
      <c r="B60" s="207" t="inlineStr">
        <is>
          <t>IRR variance vs underwritten (pts)</t>
        </is>
      </c>
      <c r="E60" s="165">
        <f>IFERROR((E58-E46)*100,"n/m")</f>
        <v/>
      </c>
    </row>
    <row r="62" ht="14.25" customHeight="1" s="148">
      <c r="B62" s="204">
        <f>N19</f>
        <v/>
      </c>
      <c r="E62" s="147">
        <f>-E6</f>
        <v/>
      </c>
      <c r="G62" s="155" t="inlineStr">
        <is>
          <t>cash flows for XIRR (actual)</t>
        </is>
      </c>
    </row>
    <row r="63" ht="14.25" customHeight="1" s="148">
      <c r="B63" s="204">
        <f>N21</f>
        <v/>
      </c>
      <c r="E63" s="165">
        <f>E55</f>
        <v/>
      </c>
    </row>
    <row r="65" ht="14.25" customHeight="1" s="148">
      <c r="B65" s="163" t="inlineStr">
        <is>
          <t>Actual outcome note:</t>
        </is>
      </c>
    </row>
    <row r="66" ht="14.25" customHeight="1" s="148">
      <c r="B66" s="151" t="inlineStr">
        <is>
          <t>Chapter 11 filed 30 Apr 2009. First-lien lenders (~$6.9bn) took $2.0bn cash (~29c) in the 363 sale to New Chrysler; second lien and equity recovered nothing. 2008 EBITDA was $0.3bn on $55.9bn revenue (Chrysler restructuring plan to Treasury, Feb-2009). Sponsor equity: total loss.</t>
        </is>
      </c>
    </row>
    <row r="67" ht="14.25" customHeight="1" s="148"/>
    <row r="68" ht="14.25" customHeight="1" s="148"/>
    <row r="69" ht="14.25" customHeight="1" s="148"/>
    <row r="71" ht="14.25" customHeight="1" s="148">
      <c r="B71" s="163" t="inlineStr">
        <is>
          <t>Deal note:</t>
        </is>
      </c>
    </row>
    <row r="72" ht="14.25" customHeight="1" s="148">
      <c r="B72" s="151" t="inlineStr">
        <is>
          <t>The sponsor case required EBITDA to go from ~$1.5bn to ~$3.5bn. Actual 2008 EBITDA was $0.3bn. No capital structure survives that.</t>
        </is>
      </c>
    </row>
    <row r="73" ht="14.25" customHeight="1" s="148"/>
    <row r="74" ht="14.25" customHeight="1" s="148"/>
    <row r="75" ht="14.25" customHeight="1" s="148"/>
    <row r="77" ht="14.25" customHeight="1" s="148">
      <c r="B77" s="155" t="inlineStr">
        <is>
          <t>Classification: Private equity carve-out  |  Status: Realised 2009: equity written to zero</t>
        </is>
      </c>
    </row>
  </sheetData>
  <mergeCells count="5">
    <mergeCell ref="B4:E4"/>
    <mergeCell ref="G4:J4"/>
    <mergeCell ref="B66:J69"/>
    <mergeCell ref="B72:J75"/>
    <mergeCell ref="B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44546A"/>
    <outlinePr summaryBelow="1" summaryRight="1"/>
    <pageSetUpPr fitToPage="0"/>
  </sheetPr>
  <dimension ref="B2:P77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.45" customWidth="1" style="147" min="2" max="2"/>
    <col width="10.45" customWidth="1" style="147" min="6" max="6"/>
    <col width="30" customWidth="1" style="147" min="12" max="12"/>
    <col width="3" customWidth="1" style="147" min="13" max="13"/>
    <col width="14" customWidth="1" style="147" min="14" max="14"/>
    <col width="6" customWidth="1" style="147" min="15" max="15"/>
    <col width="70" customWidth="1" style="147" min="16" max="16"/>
  </cols>
  <sheetData>
    <row r="2" ht="17.35" customHeight="1" s="148">
      <c r="B2" s="173" t="inlineStr">
        <is>
          <t>Caterpillar / Bucyrus (2011) [STRATEGIC] — Paper LBO</t>
        </is>
      </c>
    </row>
    <row r="3" ht="30" customHeight="1" s="148">
      <c r="B3" s="212" t="inlineStr">
        <is>
          <t>STRATEGIC TRANSACTION, NOT AN LBO. The acquirer was a corporate; the "debt" is corporate notes and the "equity" is balance-sheet cash. The LBO template is applied only to show what the entry price required.</t>
        </is>
      </c>
    </row>
    <row r="4" ht="14.25" customHeight="1" s="148">
      <c r="B4" s="174" t="inlineStr">
        <is>
          <t>Sources</t>
        </is>
      </c>
      <c r="G4" s="174" t="inlineStr">
        <is>
          <t>Uses</t>
        </is>
      </c>
      <c r="L4" s="175" t="inlineStr">
        <is>
          <t>INPUTS</t>
        </is>
      </c>
      <c r="N4" s="175" t="inlineStr">
        <is>
          <t>Value</t>
        </is>
      </c>
      <c r="O4" s="175" t="inlineStr">
        <is>
          <t>Tag</t>
        </is>
      </c>
      <c r="P4" s="175" t="inlineStr">
        <is>
          <t>Source  (F = filed / rating agency, P = press, A = assumption; blue = assumption)</t>
        </is>
      </c>
    </row>
    <row r="5" ht="14.25" customHeight="1" s="148">
      <c r="B5" s="147" t="inlineStr">
        <is>
          <t>Debt</t>
        </is>
      </c>
      <c r="E5" s="176">
        <f>E12</f>
        <v/>
      </c>
      <c r="F5" s="177" t="n"/>
      <c r="G5" s="147" t="inlineStr">
        <is>
          <t>Purchase Price</t>
        </is>
      </c>
      <c r="J5" s="176">
        <f>J12</f>
        <v/>
      </c>
      <c r="L5" s="178" t="inlineStr">
        <is>
          <t>Entry enterprise value ($m)</t>
        </is>
      </c>
      <c r="N5" s="179" t="n">
        <v>8800</v>
      </c>
      <c r="O5" s="180" t="inlineStr">
        <is>
          <t>F</t>
        </is>
      </c>
      <c r="P5" s="181" t="inlineStr">
        <is>
          <t>Total purchase price as booked incl. $1.6bn assumed debt (CAT 2011 10-K)</t>
        </is>
      </c>
    </row>
    <row r="6" ht="14.25" customHeight="1" s="148">
      <c r="B6" s="147" t="inlineStr">
        <is>
          <t>Equity (plug)</t>
        </is>
      </c>
      <c r="E6" s="176">
        <f>E7-E5</f>
        <v/>
      </c>
      <c r="L6" s="178" t="inlineStr">
        <is>
          <t>Entry EBITDA, LTM ($m)</t>
        </is>
      </c>
      <c r="N6" s="179" t="n">
        <v>637.3</v>
      </c>
      <c r="O6" s="180" t="inlineStr">
        <is>
          <t>F</t>
        </is>
      </c>
      <c r="P6" s="181" t="inlineStr">
        <is>
          <t>Bucyrus FY2010 EBITDA $637.3m; adjusted $720.6m (8-K Ex-99)</t>
        </is>
      </c>
    </row>
    <row r="7" ht="14.25" customHeight="1" s="148">
      <c r="B7" s="182" t="inlineStr">
        <is>
          <t>Total Sources</t>
        </is>
      </c>
      <c r="C7" s="182" t="n"/>
      <c r="D7" s="182" t="n"/>
      <c r="E7" s="183">
        <f>J7</f>
        <v/>
      </c>
      <c r="G7" s="182" t="inlineStr">
        <is>
          <t>Total Uses</t>
        </is>
      </c>
      <c r="H7" s="182" t="n"/>
      <c r="I7" s="182" t="n"/>
      <c r="J7" s="183">
        <f>J5</f>
        <v/>
      </c>
      <c r="L7" s="178" t="inlineStr">
        <is>
          <t>Entry multiple (x)</t>
        </is>
      </c>
      <c r="N7" s="184">
        <f>N5/N6</f>
        <v/>
      </c>
      <c r="O7" s="180" t="inlineStr">
        <is>
          <t>calc</t>
        </is>
      </c>
      <c r="P7" s="181" t="inlineStr">
        <is>
          <t>Derived</t>
        </is>
      </c>
    </row>
    <row r="8" ht="14.25" customHeight="1" s="148">
      <c r="L8" s="178" t="inlineStr">
        <is>
          <t>Debt raised ($m)</t>
        </is>
      </c>
      <c r="N8" s="179" t="n">
        <v>4500</v>
      </c>
      <c r="O8" s="180" t="inlineStr">
        <is>
          <t>F</t>
        </is>
      </c>
      <c r="P8" s="181" t="inlineStr">
        <is>
          <t>$4.5bn five-tranche notes, May-2011 (FWP)</t>
        </is>
      </c>
    </row>
    <row r="9" ht="14.25" customHeight="1" s="148">
      <c r="B9" s="185" t="inlineStr">
        <is>
          <t>Build to Debt</t>
        </is>
      </c>
      <c r="G9" s="185" t="inlineStr">
        <is>
          <t>Build to Purchase Price</t>
        </is>
      </c>
      <c r="L9" s="178" t="inlineStr">
        <is>
          <t>Leverage (x EBITDA)</t>
        </is>
      </c>
      <c r="N9" s="184">
        <f>N8/N6</f>
        <v/>
      </c>
      <c r="O9" s="180" t="inlineStr">
        <is>
          <t>calc</t>
        </is>
      </c>
      <c r="P9" s="181" t="inlineStr">
        <is>
          <t>Derived</t>
        </is>
      </c>
    </row>
    <row r="10" ht="14.25" customHeight="1" s="148">
      <c r="B10" s="147" t="inlineStr">
        <is>
          <t>2010 EBITDA (LTM)</t>
        </is>
      </c>
      <c r="E10" s="176">
        <f>E18</f>
        <v/>
      </c>
      <c r="G10" s="147" t="inlineStr">
        <is>
          <t>2010 EBITDA (LTM)</t>
        </is>
      </c>
      <c r="J10" s="176">
        <f>E18</f>
        <v/>
      </c>
      <c r="L10" s="178" t="inlineStr">
        <is>
          <t>Blended cash interest rate</t>
        </is>
      </c>
      <c r="N10" s="186" t="n">
        <v>0.0287</v>
      </c>
      <c r="O10" s="180" t="inlineStr">
        <is>
          <t>F</t>
        </is>
      </c>
      <c r="P10" s="181" t="inlineStr">
        <is>
          <t>Weighted coupon: fixed tranches 3.82%; all five ~2.87% at 3M LIBOR ~0.26%</t>
        </is>
      </c>
    </row>
    <row r="11" ht="14.25" customHeight="1" s="148">
      <c r="B11" s="147" t="inlineStr">
        <is>
          <t>(x) Leverage</t>
        </is>
      </c>
      <c r="E11" s="164">
        <f>N9</f>
        <v/>
      </c>
      <c r="G11" s="147" t="inlineStr">
        <is>
          <t>(x) Multiple of 2023 EBITDA</t>
        </is>
      </c>
      <c r="J11" s="164">
        <f>N7</f>
        <v/>
      </c>
      <c r="L11" s="178" t="inlineStr">
        <is>
          <t>Tax rate</t>
        </is>
      </c>
      <c r="N11" s="187" t="n">
        <v>0.3</v>
      </c>
      <c r="O11" s="180" t="inlineStr">
        <is>
          <t>A</t>
        </is>
      </c>
      <c r="P11" s="181" t="inlineStr">
        <is>
          <t>Assumption</t>
        </is>
      </c>
    </row>
    <row r="12" ht="14.25" customHeight="1" s="148">
      <c r="B12" s="188" t="inlineStr">
        <is>
          <t>Debt</t>
        </is>
      </c>
      <c r="C12" s="188" t="n"/>
      <c r="D12" s="188" t="n"/>
      <c r="E12" s="189">
        <f>E10*E11</f>
        <v/>
      </c>
      <c r="G12" s="188" t="inlineStr">
        <is>
          <t>Purchase Price</t>
        </is>
      </c>
      <c r="H12" s="188" t="n"/>
      <c r="I12" s="188" t="n"/>
      <c r="J12" s="189">
        <f>J10*J11</f>
        <v/>
      </c>
      <c r="L12" s="178" t="inlineStr">
        <is>
          <t>Base-year revenue ($m)</t>
        </is>
      </c>
      <c r="N12" s="179" t="n">
        <v>3650</v>
      </c>
      <c r="O12" s="180" t="inlineStr">
        <is>
          <t>F</t>
        </is>
      </c>
      <c r="P12" s="181" t="inlineStr">
        <is>
          <t>Bucyrus FY2010 sales (8-K Ex-99)</t>
        </is>
      </c>
    </row>
    <row r="13" ht="14.25" customHeight="1" s="148">
      <c r="L13" s="178" t="inlineStr">
        <is>
          <t>Incremental revenue p.a. ($m)</t>
        </is>
      </c>
      <c r="N13" s="190" t="n">
        <v>365</v>
      </c>
      <c r="O13" s="180" t="inlineStr">
        <is>
          <t>A</t>
        </is>
      </c>
      <c r="P13" s="181" t="inlineStr">
        <is>
          <t>Underwritten case: ~10% p.a. plus &gt;$400m synergies by 2015 (announcement)</t>
        </is>
      </c>
    </row>
    <row r="14" ht="14.25" customHeight="1" s="148">
      <c r="B14" s="191" t="inlineStr">
        <is>
          <t>Simple P&amp;L</t>
        </is>
      </c>
      <c r="C14" s="192" t="n"/>
      <c r="D14" s="192" t="n"/>
      <c r="E14" s="174" t="n">
        <v>2010</v>
      </c>
      <c r="F14" s="174">
        <f>E14+1</f>
        <v/>
      </c>
      <c r="G14" s="174">
        <f>F14+1</f>
        <v/>
      </c>
      <c r="H14" s="174">
        <f>G14+1</f>
        <v/>
      </c>
      <c r="I14" s="174">
        <f>H14+1</f>
        <v/>
      </c>
      <c r="J14" s="174">
        <f>I14+1</f>
        <v/>
      </c>
      <c r="L14" s="178" t="inlineStr">
        <is>
          <t>EBITDA margin, base year</t>
        </is>
      </c>
      <c r="N14" s="186">
        <f>N6/N12</f>
        <v/>
      </c>
      <c r="O14" s="180" t="inlineStr">
        <is>
          <t>calc</t>
        </is>
      </c>
      <c r="P14" s="181" t="inlineStr">
        <is>
          <t>Derived</t>
        </is>
      </c>
    </row>
    <row r="15" ht="22.35" customHeight="1" s="148">
      <c r="B15" s="147" t="inlineStr">
        <is>
          <t>Revenue</t>
        </is>
      </c>
      <c r="E15" s="176">
        <f>N12</f>
        <v/>
      </c>
      <c r="F15" s="176">
        <f>E15+F16</f>
        <v/>
      </c>
      <c r="G15" s="176">
        <f>F15+G16</f>
        <v/>
      </c>
      <c r="H15" s="176">
        <f>G15+H16</f>
        <v/>
      </c>
      <c r="I15" s="176">
        <f>H15+I16</f>
        <v/>
      </c>
      <c r="J15" s="176">
        <f>I15+J16</f>
        <v/>
      </c>
      <c r="L15" s="178" t="inlineStr">
        <is>
          <t>D&amp;A p.a. ($m)</t>
        </is>
      </c>
      <c r="N15" s="179" t="n">
        <v>100.6</v>
      </c>
      <c r="O15" s="180" t="inlineStr">
        <is>
          <t>F</t>
        </is>
      </c>
      <c r="P15" s="181" t="inlineStr">
        <is>
          <t>FY2010 depreciation $54.1m + amortisation $46.6m (10-K Ex-13); excludes the $3.9bn acquired-intangible amortisation</t>
        </is>
      </c>
    </row>
    <row r="16" ht="14.25" customHeight="1" s="148">
      <c r="B16" s="193" t="inlineStr">
        <is>
          <t>$ Incremental Revenue</t>
        </is>
      </c>
      <c r="F16" s="194">
        <f>N13</f>
        <v/>
      </c>
      <c r="G16" s="194">
        <f>F16</f>
        <v/>
      </c>
      <c r="H16" s="194">
        <f>G16</f>
        <v/>
      </c>
      <c r="I16" s="194">
        <f>H16</f>
        <v/>
      </c>
      <c r="J16" s="194">
        <f>I16</f>
        <v/>
      </c>
      <c r="L16" s="178" t="inlineStr">
        <is>
          <t>Capex p.a. ($m)</t>
        </is>
      </c>
      <c r="N16" s="179" t="n">
        <v>100</v>
      </c>
      <c r="O16" s="180" t="inlineStr">
        <is>
          <t>F</t>
        </is>
      </c>
      <c r="P16" s="181" t="inlineStr">
        <is>
          <t>2011 guidance ~$100m (FY2010 actual $69.4m)</t>
        </is>
      </c>
    </row>
    <row r="17" ht="14.25" customHeight="1" s="148">
      <c r="L17" s="178" t="inlineStr">
        <is>
          <t>Change in NWC p.a. ($m, negative = investment)</t>
        </is>
      </c>
      <c r="N17" s="190" t="n">
        <v>-50</v>
      </c>
      <c r="O17" s="180" t="inlineStr">
        <is>
          <t>A</t>
        </is>
      </c>
      <c r="P17" s="181" t="inlineStr">
        <is>
          <t>Assumption for a growing backlog business</t>
        </is>
      </c>
    </row>
    <row r="18" ht="14.25" customHeight="1" s="148">
      <c r="B18" s="147" t="inlineStr">
        <is>
          <t>EBITDA</t>
        </is>
      </c>
      <c r="E18" s="176">
        <f>E19*E15</f>
        <v/>
      </c>
      <c r="F18" s="176">
        <f>F19*F15</f>
        <v/>
      </c>
      <c r="G18" s="176">
        <f>G19*G15</f>
        <v/>
      </c>
      <c r="H18" s="176">
        <f>H19*H15</f>
        <v/>
      </c>
      <c r="I18" s="176">
        <f>I19*I15</f>
        <v/>
      </c>
      <c r="J18" s="176">
        <f>J19*J15</f>
        <v/>
      </c>
      <c r="L18" s="178" t="inlineStr">
        <is>
          <t>Exit multiple (x)</t>
        </is>
      </c>
      <c r="N18" s="195" t="n">
        <v>10</v>
      </c>
      <c r="O18" s="180" t="inlineStr">
        <is>
          <t>A</t>
        </is>
      </c>
      <c r="P18" s="181" t="inlineStr">
        <is>
          <t>Mining equipment mid-cycle multiple, assumption</t>
        </is>
      </c>
    </row>
    <row r="19" ht="14.25" customHeight="1" s="148">
      <c r="B19" s="193" t="inlineStr">
        <is>
          <t>% margin</t>
        </is>
      </c>
      <c r="E19" s="210">
        <f>N14</f>
        <v/>
      </c>
      <c r="F19" s="211" t="n">
        <v>0.19</v>
      </c>
      <c r="G19" s="211" t="n">
        <v>0.21</v>
      </c>
      <c r="H19" s="211" t="n">
        <v>0.23</v>
      </c>
      <c r="I19" s="211" t="n">
        <v>0.25</v>
      </c>
      <c r="J19" s="211" t="n">
        <v>0.26</v>
      </c>
      <c r="L19" s="178" t="inlineStr">
        <is>
          <t>Entry date</t>
        </is>
      </c>
      <c r="N19" s="197" t="n">
        <v>40732</v>
      </c>
      <c r="O19" s="180" t="inlineStr">
        <is>
          <t>F</t>
        </is>
      </c>
      <c r="P19" s="181" t="inlineStr">
        <is>
          <t>Closing date per filings</t>
        </is>
      </c>
    </row>
    <row r="20" ht="14.25" customHeight="1" s="148">
      <c r="L20" s="178" t="inlineStr">
        <is>
          <t>Underwritten exit date (5-year hold)</t>
        </is>
      </c>
      <c r="N20" s="198" t="n">
        <v>42559</v>
      </c>
      <c r="O20" s="180" t="inlineStr">
        <is>
          <t>A</t>
        </is>
      </c>
      <c r="P20" s="181" t="inlineStr">
        <is>
          <t>Template convention: five projection years</t>
        </is>
      </c>
    </row>
    <row r="21" ht="14.25" customHeight="1" s="148">
      <c r="B21" s="185" t="inlineStr">
        <is>
          <t>LFCF Build</t>
        </is>
      </c>
      <c r="L21" s="178" t="inlineStr">
        <is>
          <t>Actual exit / valuation date</t>
        </is>
      </c>
      <c r="N21" s="197" t="inlineStr">
        <is>
          <t>n/a</t>
        </is>
      </c>
      <c r="O21" s="180" t="inlineStr">
        <is>
          <t>F</t>
        </is>
      </c>
      <c r="P21" s="181" t="inlineStr">
        <is>
          <t>No realised exit</t>
        </is>
      </c>
    </row>
    <row r="22" ht="14.25" customHeight="1" s="148">
      <c r="B22" s="147" t="inlineStr">
        <is>
          <t>EBITDA</t>
        </is>
      </c>
      <c r="E22" s="199" t="n"/>
      <c r="F22" s="199">
        <f>F18</f>
        <v/>
      </c>
      <c r="G22" s="199">
        <f>G18</f>
        <v/>
      </c>
      <c r="H22" s="199">
        <f>H18</f>
        <v/>
      </c>
      <c r="I22" s="199">
        <f>I18</f>
        <v/>
      </c>
      <c r="J22" s="199">
        <f>J18</f>
        <v/>
      </c>
    </row>
    <row r="23" ht="14.25" customHeight="1" s="148">
      <c r="B23" s="147" t="inlineStr">
        <is>
          <t>(-) D&amp;A</t>
        </is>
      </c>
      <c r="E23" s="199" t="n"/>
      <c r="F23" s="199">
        <f>-$N$15</f>
        <v/>
      </c>
      <c r="G23" s="199">
        <f>-$N$15</f>
        <v/>
      </c>
      <c r="H23" s="199">
        <f>-$N$15</f>
        <v/>
      </c>
      <c r="I23" s="199">
        <f>-$N$15</f>
        <v/>
      </c>
      <c r="J23" s="199">
        <f>-$N$15</f>
        <v/>
      </c>
    </row>
    <row r="24" ht="14.25" customHeight="1" s="148">
      <c r="B24" s="188" t="inlineStr">
        <is>
          <t>EBIT</t>
        </is>
      </c>
      <c r="C24" s="188" t="n"/>
      <c r="D24" s="188" t="n"/>
      <c r="E24" s="200" t="n"/>
      <c r="F24" s="200">
        <f>F22+F23</f>
        <v/>
      </c>
      <c r="G24" s="200">
        <f>G22+G23</f>
        <v/>
      </c>
      <c r="H24" s="200">
        <f>H22+H23</f>
        <v/>
      </c>
      <c r="I24" s="200">
        <f>I22+I23</f>
        <v/>
      </c>
      <c r="J24" s="200">
        <f>J22+J23</f>
        <v/>
      </c>
    </row>
    <row r="25" ht="14.25" customHeight="1" s="148">
      <c r="B25" s="147" t="inlineStr">
        <is>
          <t>(-) Cash Interest</t>
        </is>
      </c>
      <c r="D25" s="196">
        <f>N10</f>
        <v/>
      </c>
      <c r="E25" s="199" t="n"/>
      <c r="F25" s="199">
        <f>$E$12*-$D$25</f>
        <v/>
      </c>
      <c r="G25" s="199">
        <f>$E$12*-$D$25</f>
        <v/>
      </c>
      <c r="H25" s="199">
        <f>$E$12*-$D$25</f>
        <v/>
      </c>
      <c r="I25" s="199">
        <f>$E$12*-$D$25</f>
        <v/>
      </c>
      <c r="J25" s="199">
        <f>$E$12*-$D$25</f>
        <v/>
      </c>
    </row>
    <row r="26" ht="14.25" customHeight="1" s="148">
      <c r="B26" s="188" t="inlineStr">
        <is>
          <t>EBT</t>
        </is>
      </c>
      <c r="C26" s="188" t="n"/>
      <c r="D26" s="188" t="n"/>
      <c r="E26" s="200" t="n"/>
      <c r="F26" s="200">
        <f>F24+F25</f>
        <v/>
      </c>
      <c r="G26" s="200">
        <f>G24+G25</f>
        <v/>
      </c>
      <c r="H26" s="200">
        <f>H24+H25</f>
        <v/>
      </c>
      <c r="I26" s="200">
        <f>I24+I25</f>
        <v/>
      </c>
      <c r="J26" s="200">
        <f>J24+J25</f>
        <v/>
      </c>
    </row>
    <row r="27" ht="14.25" customHeight="1" s="148">
      <c r="B27" s="147" t="inlineStr">
        <is>
          <t>(-) Taxes</t>
        </is>
      </c>
      <c r="D27" s="196">
        <f>N11</f>
        <v/>
      </c>
      <c r="E27" s="199" t="n"/>
      <c r="F27" s="199">
        <f>F26*-$D27</f>
        <v/>
      </c>
      <c r="G27" s="199">
        <f>G26*-$D27</f>
        <v/>
      </c>
      <c r="H27" s="199">
        <f>H26*-$D27</f>
        <v/>
      </c>
      <c r="I27" s="199">
        <f>I26*-$D27</f>
        <v/>
      </c>
      <c r="J27" s="199">
        <f>J26*-$D27</f>
        <v/>
      </c>
    </row>
    <row r="28" ht="14.25" customHeight="1" s="148">
      <c r="B28" s="188" t="inlineStr">
        <is>
          <t>Net Income</t>
        </is>
      </c>
      <c r="C28" s="188" t="n"/>
      <c r="D28" s="188" t="n"/>
      <c r="E28" s="200" t="n"/>
      <c r="F28" s="200">
        <f>F26+F27</f>
        <v/>
      </c>
      <c r="G28" s="200">
        <f>G26+G27</f>
        <v/>
      </c>
      <c r="H28" s="200">
        <f>H26+H27</f>
        <v/>
      </c>
      <c r="I28" s="200">
        <f>I26+I27</f>
        <v/>
      </c>
      <c r="J28" s="200">
        <f>J26+J27</f>
        <v/>
      </c>
    </row>
    <row r="29" ht="14.25" customHeight="1" s="148">
      <c r="B29" s="147" t="inlineStr">
        <is>
          <t>(+) D&amp;A</t>
        </is>
      </c>
      <c r="E29" s="199" t="n"/>
      <c r="F29" s="199">
        <f>-F23</f>
        <v/>
      </c>
      <c r="G29" s="199">
        <f>-G23</f>
        <v/>
      </c>
      <c r="H29" s="199">
        <f>-H23</f>
        <v/>
      </c>
      <c r="I29" s="199">
        <f>-I23</f>
        <v/>
      </c>
      <c r="J29" s="199">
        <f>-J23</f>
        <v/>
      </c>
    </row>
    <row r="30" ht="14.25" customHeight="1" s="148">
      <c r="B30" s="147" t="inlineStr">
        <is>
          <t>(-) Capex</t>
        </is>
      </c>
      <c r="E30" s="199" t="n"/>
      <c r="F30" s="199">
        <f>-$N$16</f>
        <v/>
      </c>
      <c r="G30" s="199">
        <f>-$N$16</f>
        <v/>
      </c>
      <c r="H30" s="199">
        <f>-$N$16</f>
        <v/>
      </c>
      <c r="I30" s="199">
        <f>-$N$16</f>
        <v/>
      </c>
      <c r="J30" s="199">
        <f>-$N$16</f>
        <v/>
      </c>
    </row>
    <row r="31" ht="14.25" customHeight="1" s="148">
      <c r="B31" s="147" t="inlineStr">
        <is>
          <t>(-) Change in NWC</t>
        </is>
      </c>
      <c r="E31" s="199" t="n"/>
      <c r="F31" s="199">
        <f>$N$17</f>
        <v/>
      </c>
      <c r="G31" s="199">
        <f>$N$17</f>
        <v/>
      </c>
      <c r="H31" s="199">
        <f>$N$17</f>
        <v/>
      </c>
      <c r="I31" s="199">
        <f>$N$17</f>
        <v/>
      </c>
      <c r="J31" s="199">
        <f>$N$17</f>
        <v/>
      </c>
    </row>
    <row r="32" ht="14.25" customHeight="1" s="148">
      <c r="B32" s="188" t="inlineStr">
        <is>
          <t>Levered FCF</t>
        </is>
      </c>
      <c r="C32" s="188" t="n"/>
      <c r="D32" s="188" t="n"/>
      <c r="E32" s="200" t="n"/>
      <c r="F32" s="200">
        <f>SUM(F28:F31)</f>
        <v/>
      </c>
      <c r="G32" s="200">
        <f>SUM(G28:G31)</f>
        <v/>
      </c>
      <c r="H32" s="200">
        <f>SUM(H28:H31)</f>
        <v/>
      </c>
      <c r="I32" s="200">
        <f>SUM(I28:I31)</f>
        <v/>
      </c>
      <c r="J32" s="200">
        <f>SUM(J28:J31)</f>
        <v/>
      </c>
    </row>
    <row r="33" ht="14.25" customHeight="1" s="148">
      <c r="B33" s="193" t="inlineStr">
        <is>
          <t>Cumulative LFCF</t>
        </is>
      </c>
      <c r="E33" s="199" t="n"/>
      <c r="F33" s="201">
        <f>SUM($E32:F32)</f>
        <v/>
      </c>
      <c r="G33" s="201">
        <f>SUM($E32:G32)</f>
        <v/>
      </c>
      <c r="H33" s="201">
        <f>SUM($E32:H32)</f>
        <v/>
      </c>
      <c r="I33" s="201">
        <f>SUM($E32:I32)</f>
        <v/>
      </c>
      <c r="J33" s="201">
        <f>SUM($E32:J32)</f>
        <v/>
      </c>
    </row>
    <row r="35" ht="14.25" customHeight="1" s="148">
      <c r="B35" s="191" t="inlineStr">
        <is>
          <t>Returns — UNDERWRITTEN CASE (template mechanics: interest on opening debt, all LFCF accumulates as cash)</t>
        </is>
      </c>
      <c r="C35" s="192" t="n"/>
      <c r="D35" s="192" t="n"/>
      <c r="E35" s="174" t="n"/>
      <c r="F35" s="174" t="n"/>
      <c r="G35" s="174" t="n"/>
      <c r="H35" s="174" t="n"/>
      <c r="I35" s="174" t="n"/>
      <c r="J35" s="174" t="n"/>
    </row>
    <row r="37" ht="14.25" customHeight="1" s="148">
      <c r="B37" s="147" t="inlineStr">
        <is>
          <t>Exit EBITDA (2015)</t>
        </is>
      </c>
      <c r="E37" s="199">
        <f>J18</f>
        <v/>
      </c>
    </row>
    <row r="38" ht="14.25" customHeight="1" s="148">
      <c r="B38" s="147" t="inlineStr">
        <is>
          <t>(x) Exit Multiple</t>
        </is>
      </c>
      <c r="E38" s="164">
        <f>N18</f>
        <v/>
      </c>
    </row>
    <row r="39" ht="14.25" customHeight="1" s="148">
      <c r="B39" s="202" t="inlineStr">
        <is>
          <t>Enterprise Value</t>
        </is>
      </c>
      <c r="C39" s="202" t="n"/>
      <c r="D39" s="202" t="n"/>
      <c r="E39" s="203">
        <f>E37*E38</f>
        <v/>
      </c>
    </row>
    <row r="40" ht="14.25" customHeight="1" s="148">
      <c r="B40" s="147" t="inlineStr">
        <is>
          <t>(-) Debt</t>
        </is>
      </c>
      <c r="E40" s="199">
        <f>-E12</f>
        <v/>
      </c>
    </row>
    <row r="41" ht="14.25" customHeight="1" s="148">
      <c r="B41" s="147" t="inlineStr">
        <is>
          <t>(+) Cash</t>
        </is>
      </c>
      <c r="E41" s="199">
        <f>J33</f>
        <v/>
      </c>
    </row>
    <row r="42" ht="14.25" customHeight="1" s="148">
      <c r="B42" s="202" t="inlineStr">
        <is>
          <t>Equity Value at Exit</t>
        </is>
      </c>
      <c r="C42" s="202" t="n"/>
      <c r="D42" s="202" t="n"/>
      <c r="E42" s="203">
        <f>SUM(E39:E41)</f>
        <v/>
      </c>
    </row>
    <row r="43" ht="14.25" customHeight="1" s="148">
      <c r="B43" s="147" t="inlineStr">
        <is>
          <t xml:space="preserve">Initial Equity Investment </t>
        </is>
      </c>
      <c r="E43" s="199">
        <f>E6</f>
        <v/>
      </c>
    </row>
    <row r="45" ht="14.25" customHeight="1" s="148">
      <c r="B45" s="147" t="inlineStr">
        <is>
          <t>MoM</t>
        </is>
      </c>
      <c r="E45" s="164">
        <f>E42/E43</f>
        <v/>
      </c>
    </row>
    <row r="46" ht="14.25" customHeight="1" s="148">
      <c r="B46" s="147" t="inlineStr">
        <is>
          <t>IRR</t>
        </is>
      </c>
      <c r="E46" s="177">
        <f>XIRR(E48:E49,B48:B49)</f>
        <v/>
      </c>
    </row>
    <row r="48" ht="14.25" customHeight="1" s="148">
      <c r="B48" s="204">
        <f>N19</f>
        <v/>
      </c>
      <c r="E48" s="199">
        <f>-E6</f>
        <v/>
      </c>
    </row>
    <row r="49" ht="14.25" customHeight="1" s="148">
      <c r="B49" s="204">
        <f>N20</f>
        <v/>
      </c>
      <c r="E49" s="199">
        <f>E42</f>
        <v/>
      </c>
    </row>
    <row r="52" ht="14.25" customHeight="1" s="148">
      <c r="B52" s="205" t="inlineStr">
        <is>
          <t>ACTUAL OUTCOME</t>
        </is>
      </c>
      <c r="C52" s="206" t="n"/>
      <c r="D52" s="206" t="n"/>
      <c r="E52" s="206" t="n"/>
      <c r="F52" s="206" t="n"/>
      <c r="G52" s="206" t="n"/>
      <c r="H52" s="206" t="n"/>
      <c r="I52" s="206" t="n"/>
      <c r="J52" s="206" t="n"/>
    </row>
    <row r="53" ht="14.25" customHeight="1" s="148">
      <c r="B53" s="207" t="inlineStr">
        <is>
          <t>Exit enterprise value, actual ($m)</t>
        </is>
      </c>
      <c r="E53" s="155" t="inlineStr">
        <is>
          <t>undisclosed</t>
        </is>
      </c>
    </row>
    <row r="54" ht="14.25" customHeight="1" s="148">
      <c r="B54" s="207" t="inlineStr">
        <is>
          <t>Debt at exit ($m)</t>
        </is>
      </c>
    </row>
    <row r="55" ht="14.25" customHeight="1" s="148">
      <c r="B55" s="207" t="inlineStr">
        <is>
          <t>Equity value at exit ($m)</t>
        </is>
      </c>
    </row>
    <row r="56" ht="14.25" customHeight="1" s="148">
      <c r="B56" s="207" t="inlineStr">
        <is>
          <t>Equity invested (from Sources) ($m)</t>
        </is>
      </c>
    </row>
    <row r="57" ht="14.25" customHeight="1" s="148">
      <c r="B57" s="207" t="inlineStr">
        <is>
          <t>MoM, actual</t>
        </is>
      </c>
    </row>
    <row r="58" ht="14.25" customHeight="1" s="148">
      <c r="B58" s="207" t="inlineStr">
        <is>
          <t>IRR, actual</t>
        </is>
      </c>
    </row>
    <row r="59" ht="14.25" customHeight="1" s="148">
      <c r="B59" s="207" t="inlineStr">
        <is>
          <t>MoM variance vs underwritten</t>
        </is>
      </c>
    </row>
    <row r="60" ht="14.25" customHeight="1" s="148">
      <c r="B60" s="207" t="inlineStr">
        <is>
          <t>IRR variance vs underwritten (pts)</t>
        </is>
      </c>
    </row>
    <row r="65" ht="14.25" customHeight="1" s="148">
      <c r="B65" s="163" t="inlineStr">
        <is>
          <t>Actual outcome note:</t>
        </is>
      </c>
    </row>
    <row r="66" ht="14.25" customHeight="1" s="148">
      <c r="B66" s="151" t="inlineStr">
        <is>
          <t>Never exited. Bucyrus contributed $2,524m of sales and a $(96)m operating loss in the 2011 stub, $4,758m and $257m in 2012. Caterpillar Resource Industries segment then fell from $21.2bn sales / $4.3bn profit (2012) to $5.7bn / $(1,047)m (2016), the year of the $595m Surface Mining &amp; Technology goodwill impairment and $132m intangible write-down.</t>
        </is>
      </c>
    </row>
    <row r="67" ht="14.25" customHeight="1" s="148"/>
    <row r="68" ht="14.25" customHeight="1" s="148"/>
    <row r="69" ht="14.25" customHeight="1" s="148"/>
    <row r="71" ht="14.25" customHeight="1" s="148">
      <c r="B71" s="163" t="inlineStr">
        <is>
          <t>Deal note:</t>
        </is>
      </c>
    </row>
    <row r="72" ht="14.25" customHeight="1" s="148">
      <c r="B72" s="151" t="inlineStr">
        <is>
          <t>Not a sponsor deal. The notes were Caterpillar corporate debt at ~2.9%, and the 'equity' was balance-sheet cash. The template is used to show what the price required: EBITDA roughly doubling on a 13.8x entry. The cycle turned the other way within eighteen months.</t>
        </is>
      </c>
    </row>
    <row r="73" ht="14.25" customHeight="1" s="148"/>
    <row r="74" ht="14.25" customHeight="1" s="148"/>
    <row r="75" ht="14.25" customHeight="1" s="148"/>
    <row r="77" ht="14.25" customHeight="1" s="148">
      <c r="B77" s="155" t="inlineStr">
        <is>
          <t>Classification: STRATEGIC public M&amp;A, debt-financed (not an LBO)  |  Status: Held; $595m goodwill impairment Q4-2016</t>
        </is>
      </c>
    </row>
  </sheetData>
  <mergeCells count="6">
    <mergeCell ref="B3:J3"/>
    <mergeCell ref="B4:E4"/>
    <mergeCell ref="G4:J4"/>
    <mergeCell ref="B66:J69"/>
    <mergeCell ref="B72:J75"/>
    <mergeCell ref="B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44546A"/>
    <outlinePr summaryBelow="1" summaryRight="1"/>
    <pageSetUpPr fitToPage="0"/>
  </sheetPr>
  <dimension ref="B2:P77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.45" customWidth="1" style="147" min="2" max="2"/>
    <col width="10.45" customWidth="1" style="147" min="6" max="6"/>
    <col width="30" customWidth="1" style="147" min="12" max="12"/>
    <col width="3" customWidth="1" style="147" min="13" max="13"/>
    <col width="14" customWidth="1" style="147" min="14" max="14"/>
    <col width="6" customWidth="1" style="147" min="15" max="15"/>
    <col width="70" customWidth="1" style="147" min="16" max="16"/>
  </cols>
  <sheetData>
    <row r="2" ht="17.35" customHeight="1" s="148">
      <c r="B2" s="173" t="inlineStr">
        <is>
          <t>NRG / Direct Energy (2021) [STRATEGIC] — Paper LBO</t>
        </is>
      </c>
    </row>
    <row r="3" ht="30" customHeight="1" s="148">
      <c r="B3" s="212" t="inlineStr">
        <is>
          <t>STRATEGIC TRANSACTION, NOT AN LBO. The acquirer was a corporate; the "debt" is corporate notes and the "equity" is balance-sheet cash. The LBO template is applied only to show what the entry price required.</t>
        </is>
      </c>
    </row>
    <row r="4" ht="14.25" customHeight="1" s="148">
      <c r="B4" s="174" t="inlineStr">
        <is>
          <t>Sources</t>
        </is>
      </c>
      <c r="G4" s="174" t="inlineStr">
        <is>
          <t>Uses</t>
        </is>
      </c>
      <c r="L4" s="175" t="inlineStr">
        <is>
          <t>INPUTS</t>
        </is>
      </c>
      <c r="N4" s="175" t="inlineStr">
        <is>
          <t>Value</t>
        </is>
      </c>
      <c r="O4" s="175" t="inlineStr">
        <is>
          <t>Tag</t>
        </is>
      </c>
      <c r="P4" s="175" t="inlineStr">
        <is>
          <t>Source  (F = filed / rating agency, P = press, A = assumption; blue = assumption)</t>
        </is>
      </c>
    </row>
    <row r="5" ht="14.25" customHeight="1" s="148">
      <c r="B5" s="147" t="inlineStr">
        <is>
          <t>Debt</t>
        </is>
      </c>
      <c r="E5" s="176">
        <f>E12</f>
        <v/>
      </c>
      <c r="F5" s="177" t="n"/>
      <c r="G5" s="147" t="inlineStr">
        <is>
          <t>Purchase Price</t>
        </is>
      </c>
      <c r="J5" s="176">
        <f>J12</f>
        <v/>
      </c>
      <c r="L5" s="178" t="inlineStr">
        <is>
          <t>Entry enterprise value ($m)</t>
        </is>
      </c>
      <c r="N5" s="179" t="n">
        <v>3625</v>
      </c>
      <c r="O5" s="180" t="inlineStr">
        <is>
          <t>F</t>
        </is>
      </c>
      <c r="P5" s="181" t="inlineStr">
        <is>
          <t>Purchase price, debt-free cash-free (Centrica / NRG releases)</t>
        </is>
      </c>
    </row>
    <row r="6" ht="14.25" customHeight="1" s="148">
      <c r="B6" s="147" t="inlineStr">
        <is>
          <t>Equity (plug)</t>
        </is>
      </c>
      <c r="E6" s="176">
        <f>E7-E5</f>
        <v/>
      </c>
      <c r="L6" s="178" t="inlineStr">
        <is>
          <t>Entry EBITDA, LTM ($m)</t>
        </is>
      </c>
      <c r="N6" s="179" t="n">
        <v>457</v>
      </c>
      <c r="O6" s="180" t="inlineStr">
        <is>
          <t>F</t>
        </is>
      </c>
      <c r="P6" s="181" t="inlineStr">
        <is>
          <t>2019 underlying adjusted EBITDA $457m / GBP358m (Centrica Class 1 circular); 7.9x</t>
        </is>
      </c>
    </row>
    <row r="7" ht="14.25" customHeight="1" s="148">
      <c r="B7" s="182" t="inlineStr">
        <is>
          <t>Total Sources</t>
        </is>
      </c>
      <c r="C7" s="182" t="n"/>
      <c r="D7" s="182" t="n"/>
      <c r="E7" s="183">
        <f>J7</f>
        <v/>
      </c>
      <c r="G7" s="182" t="inlineStr">
        <is>
          <t>Total Uses</t>
        </is>
      </c>
      <c r="H7" s="182" t="n"/>
      <c r="I7" s="182" t="n"/>
      <c r="J7" s="183">
        <f>J5</f>
        <v/>
      </c>
      <c r="L7" s="178" t="inlineStr">
        <is>
          <t>Entry multiple (x)</t>
        </is>
      </c>
      <c r="N7" s="184">
        <f>N5/N6</f>
        <v/>
      </c>
      <c r="O7" s="180" t="inlineStr">
        <is>
          <t>calc</t>
        </is>
      </c>
      <c r="P7" s="181" t="inlineStr">
        <is>
          <t>Derived</t>
        </is>
      </c>
    </row>
    <row r="8" ht="22.35" customHeight="1" s="148">
      <c r="L8" s="178" t="inlineStr">
        <is>
          <t>Debt raised ($m)</t>
        </is>
      </c>
      <c r="N8" s="179" t="n">
        <v>2930</v>
      </c>
      <c r="O8" s="180" t="inlineStr">
        <is>
          <t>F</t>
        </is>
      </c>
      <c r="P8" s="181" t="inlineStr">
        <is>
          <t>$1.40bn secured notes (2.000%/2.450%) + $1.53bn unsecured (3.375%/3.625%); $900m P-Caps excluded</t>
        </is>
      </c>
    </row>
    <row r="9" ht="14.25" customHeight="1" s="148">
      <c r="B9" s="185" t="inlineStr">
        <is>
          <t>Build to Debt</t>
        </is>
      </c>
      <c r="G9" s="185" t="inlineStr">
        <is>
          <t>Build to Purchase Price</t>
        </is>
      </c>
      <c r="L9" s="178" t="inlineStr">
        <is>
          <t>Leverage (x EBITDA)</t>
        </is>
      </c>
      <c r="N9" s="184">
        <f>N8/N6</f>
        <v/>
      </c>
      <c r="O9" s="180" t="inlineStr">
        <is>
          <t>calc</t>
        </is>
      </c>
      <c r="P9" s="181" t="inlineStr">
        <is>
          <t>Derived</t>
        </is>
      </c>
    </row>
    <row r="10" ht="14.25" customHeight="1" s="148">
      <c r="B10" s="147" t="inlineStr">
        <is>
          <t>2019 EBITDA (LTM)</t>
        </is>
      </c>
      <c r="E10" s="176">
        <f>E18</f>
        <v/>
      </c>
      <c r="G10" s="147" t="inlineStr">
        <is>
          <t>2019 EBITDA (LTM)</t>
        </is>
      </c>
      <c r="J10" s="176">
        <f>E18</f>
        <v/>
      </c>
      <c r="L10" s="178" t="inlineStr">
        <is>
          <t>Blended cash interest rate</t>
        </is>
      </c>
      <c r="N10" s="186" t="n">
        <v>0.02944</v>
      </c>
      <c r="O10" s="180" t="inlineStr">
        <is>
          <t>F</t>
        </is>
      </c>
      <c r="P10" s="181" t="inlineStr">
        <is>
          <t>Weighted coupon on the $2.93bn: 2.944% (computed from the pricing release)</t>
        </is>
      </c>
    </row>
    <row r="11" ht="14.25" customHeight="1" s="148">
      <c r="B11" s="147" t="inlineStr">
        <is>
          <t>(x) Leverage</t>
        </is>
      </c>
      <c r="E11" s="164">
        <f>N9</f>
        <v/>
      </c>
      <c r="G11" s="147" t="inlineStr">
        <is>
          <t>(x) Multiple of 2023 EBITDA</t>
        </is>
      </c>
      <c r="J11" s="164">
        <f>N7</f>
        <v/>
      </c>
      <c r="L11" s="178" t="inlineStr">
        <is>
          <t>Tax rate</t>
        </is>
      </c>
      <c r="N11" s="187" t="n">
        <v>0.21</v>
      </c>
      <c r="O11" s="180" t="inlineStr">
        <is>
          <t>A</t>
        </is>
      </c>
      <c r="P11" s="181" t="inlineStr">
        <is>
          <t>US federal rate</t>
        </is>
      </c>
    </row>
    <row r="12" ht="14.25" customHeight="1" s="148">
      <c r="B12" s="188" t="inlineStr">
        <is>
          <t>Debt</t>
        </is>
      </c>
      <c r="C12" s="188" t="n"/>
      <c r="D12" s="188" t="n"/>
      <c r="E12" s="189">
        <f>E10*E11</f>
        <v/>
      </c>
      <c r="G12" s="188" t="inlineStr">
        <is>
          <t>Purchase Price</t>
        </is>
      </c>
      <c r="H12" s="188" t="n"/>
      <c r="I12" s="188" t="n"/>
      <c r="J12" s="189">
        <f>J10*J11</f>
        <v/>
      </c>
      <c r="L12" s="178" t="inlineStr">
        <is>
          <t>Base-year revenue ($m)</t>
        </is>
      </c>
      <c r="N12" s="179" t="n">
        <v>13935</v>
      </c>
      <c r="O12" s="180" t="inlineStr">
        <is>
          <t>F</t>
        </is>
      </c>
      <c r="P12" s="181" t="inlineStr">
        <is>
          <t>Direct Energy 2019 US GAAP revenue (NRG pro forma 8-K, Nov-2020)</t>
        </is>
      </c>
    </row>
    <row r="13" ht="14.25" customHeight="1" s="148">
      <c r="L13" s="178" t="inlineStr">
        <is>
          <t>Incremental revenue p.a. ($m)</t>
        </is>
      </c>
      <c r="N13" s="179" t="n">
        <v>0</v>
      </c>
      <c r="O13" s="180" t="inlineStr">
        <is>
          <t>F</t>
        </is>
      </c>
      <c r="P13" s="181" t="inlineStr">
        <is>
          <t>Flat revenue; value case is the $300m synergy ramp</t>
        </is>
      </c>
    </row>
    <row r="14" ht="14.25" customHeight="1" s="148">
      <c r="B14" s="191" t="inlineStr">
        <is>
          <t>Simple P&amp;L</t>
        </is>
      </c>
      <c r="C14" s="192" t="n"/>
      <c r="D14" s="192" t="n"/>
      <c r="E14" s="174" t="n">
        <v>2019</v>
      </c>
      <c r="F14" s="174">
        <f>E14+1</f>
        <v/>
      </c>
      <c r="G14" s="174">
        <f>F14+1</f>
        <v/>
      </c>
      <c r="H14" s="174">
        <f>G14+1</f>
        <v/>
      </c>
      <c r="I14" s="174">
        <f>H14+1</f>
        <v/>
      </c>
      <c r="J14" s="174">
        <f>I14+1</f>
        <v/>
      </c>
      <c r="L14" s="178" t="inlineStr">
        <is>
          <t>EBITDA margin, base year</t>
        </is>
      </c>
      <c r="N14" s="186">
        <f>N6/N12</f>
        <v/>
      </c>
      <c r="O14" s="180" t="inlineStr">
        <is>
          <t>calc</t>
        </is>
      </c>
      <c r="P14" s="181" t="inlineStr">
        <is>
          <t>Derived</t>
        </is>
      </c>
    </row>
    <row r="15" ht="14.25" customHeight="1" s="148">
      <c r="B15" s="147" t="inlineStr">
        <is>
          <t>Revenue</t>
        </is>
      </c>
      <c r="E15" s="176">
        <f>N12</f>
        <v/>
      </c>
      <c r="F15" s="176">
        <f>E15+F16</f>
        <v/>
      </c>
      <c r="G15" s="176">
        <f>F15+G16</f>
        <v/>
      </c>
      <c r="H15" s="176">
        <f>G15+H16</f>
        <v/>
      </c>
      <c r="I15" s="176">
        <f>H15+I16</f>
        <v/>
      </c>
      <c r="J15" s="176">
        <f>I15+J16</f>
        <v/>
      </c>
      <c r="L15" s="178" t="inlineStr">
        <is>
          <t>D&amp;A p.a. ($m)</t>
        </is>
      </c>
      <c r="N15" s="179" t="n">
        <v>101</v>
      </c>
      <c r="O15" s="180" t="inlineStr">
        <is>
          <t>F</t>
        </is>
      </c>
      <c r="P15" s="181" t="inlineStr">
        <is>
          <t>Direct Energy 2019 US GAAP D&amp;A (NRG pro forma)</t>
        </is>
      </c>
    </row>
    <row r="16" ht="14.25" customHeight="1" s="148">
      <c r="B16" s="193" t="inlineStr">
        <is>
          <t>$ Incremental Revenue</t>
        </is>
      </c>
      <c r="F16" s="194">
        <f>N13</f>
        <v/>
      </c>
      <c r="G16" s="194">
        <f>F16</f>
        <v/>
      </c>
      <c r="H16" s="194">
        <f>G16</f>
        <v/>
      </c>
      <c r="I16" s="194">
        <f>H16</f>
        <v/>
      </c>
      <c r="J16" s="194">
        <f>I16</f>
        <v/>
      </c>
      <c r="L16" s="178" t="inlineStr">
        <is>
          <t>Capex p.a. ($m)</t>
        </is>
      </c>
      <c r="N16" s="190" t="n">
        <v>100</v>
      </c>
      <c r="O16" s="180" t="inlineStr">
        <is>
          <t>A</t>
        </is>
      </c>
      <c r="P16" s="181" t="inlineStr">
        <is>
          <t>Assumption (standalone capex not disclosed)</t>
        </is>
      </c>
    </row>
    <row r="17" ht="14.25" customHeight="1" s="148">
      <c r="L17" s="178" t="inlineStr">
        <is>
          <t>Change in NWC p.a. ($m, negative = investment)</t>
        </is>
      </c>
      <c r="N17" s="190" t="n">
        <v>0</v>
      </c>
      <c r="O17" s="180" t="inlineStr">
        <is>
          <t>A</t>
        </is>
      </c>
      <c r="P17" s="181" t="inlineStr">
        <is>
          <t>Assumed flat</t>
        </is>
      </c>
    </row>
    <row r="18" ht="14.25" customHeight="1" s="148">
      <c r="B18" s="147" t="inlineStr">
        <is>
          <t>EBITDA</t>
        </is>
      </c>
      <c r="E18" s="176">
        <f>E19*E15</f>
        <v/>
      </c>
      <c r="F18" s="176">
        <f>F19*F15</f>
        <v/>
      </c>
      <c r="G18" s="176">
        <f>G19*G15</f>
        <v/>
      </c>
      <c r="H18" s="176">
        <f>H19*H15</f>
        <v/>
      </c>
      <c r="I18" s="176">
        <f>I19*I15</f>
        <v/>
      </c>
      <c r="J18" s="176">
        <f>J19*J15</f>
        <v/>
      </c>
      <c r="L18" s="178" t="inlineStr">
        <is>
          <t>Exit multiple (x)</t>
        </is>
      </c>
      <c r="N18" s="195" t="n">
        <v>8</v>
      </c>
      <c r="O18" s="180" t="inlineStr">
        <is>
          <t>A</t>
        </is>
      </c>
      <c r="P18" s="181" t="inlineStr">
        <is>
          <t>Retail energy multiple, assumption (entry 7.9x)</t>
        </is>
      </c>
    </row>
    <row r="19" ht="14.25" customHeight="1" s="148">
      <c r="B19" s="193" t="inlineStr">
        <is>
          <t>% margin</t>
        </is>
      </c>
      <c r="E19" s="210">
        <f>N14</f>
        <v/>
      </c>
      <c r="F19" s="211" t="n">
        <v>0.0425</v>
      </c>
      <c r="G19" s="211" t="n">
        <v>0.049</v>
      </c>
      <c r="H19" s="211" t="n">
        <v>0.0543</v>
      </c>
      <c r="I19" s="211" t="n">
        <v>0.0543</v>
      </c>
      <c r="J19" s="211" t="n">
        <v>0.0543</v>
      </c>
      <c r="L19" s="178" t="inlineStr">
        <is>
          <t>Entry date</t>
        </is>
      </c>
      <c r="N19" s="197" t="n">
        <v>44201</v>
      </c>
      <c r="O19" s="180" t="inlineStr">
        <is>
          <t>F</t>
        </is>
      </c>
      <c r="P19" s="181" t="inlineStr">
        <is>
          <t>Closing date per filings</t>
        </is>
      </c>
    </row>
    <row r="20" ht="14.25" customHeight="1" s="148">
      <c r="L20" s="178" t="inlineStr">
        <is>
          <t>Underwritten exit date (5-year hold)</t>
        </is>
      </c>
      <c r="N20" s="198" t="n">
        <v>46027</v>
      </c>
      <c r="O20" s="180" t="inlineStr">
        <is>
          <t>A</t>
        </is>
      </c>
      <c r="P20" s="181" t="inlineStr">
        <is>
          <t>Template convention: five projection years</t>
        </is>
      </c>
    </row>
    <row r="21" ht="14.25" customHeight="1" s="148">
      <c r="B21" s="185" t="inlineStr">
        <is>
          <t>LFCF Build</t>
        </is>
      </c>
      <c r="L21" s="178" t="inlineStr">
        <is>
          <t>Actual exit / valuation date</t>
        </is>
      </c>
      <c r="N21" s="197" t="inlineStr">
        <is>
          <t>n/a</t>
        </is>
      </c>
      <c r="O21" s="180" t="inlineStr">
        <is>
          <t>F</t>
        </is>
      </c>
      <c r="P21" s="181" t="inlineStr">
        <is>
          <t>No realised exit</t>
        </is>
      </c>
    </row>
    <row r="22" ht="14.25" customHeight="1" s="148">
      <c r="B22" s="147" t="inlineStr">
        <is>
          <t>EBITDA</t>
        </is>
      </c>
      <c r="E22" s="199" t="n"/>
      <c r="F22" s="199">
        <f>F18</f>
        <v/>
      </c>
      <c r="G22" s="199">
        <f>G18</f>
        <v/>
      </c>
      <c r="H22" s="199">
        <f>H18</f>
        <v/>
      </c>
      <c r="I22" s="199">
        <f>I18</f>
        <v/>
      </c>
      <c r="J22" s="199">
        <f>J18</f>
        <v/>
      </c>
    </row>
    <row r="23" ht="14.25" customHeight="1" s="148">
      <c r="B23" s="147" t="inlineStr">
        <is>
          <t>(-) D&amp;A</t>
        </is>
      </c>
      <c r="E23" s="199" t="n"/>
      <c r="F23" s="199">
        <f>-$N$15</f>
        <v/>
      </c>
      <c r="G23" s="199">
        <f>-$N$15</f>
        <v/>
      </c>
      <c r="H23" s="199">
        <f>-$N$15</f>
        <v/>
      </c>
      <c r="I23" s="199">
        <f>-$N$15</f>
        <v/>
      </c>
      <c r="J23" s="199">
        <f>-$N$15</f>
        <v/>
      </c>
    </row>
    <row r="24" ht="14.25" customHeight="1" s="148">
      <c r="B24" s="188" t="inlineStr">
        <is>
          <t>EBIT</t>
        </is>
      </c>
      <c r="C24" s="188" t="n"/>
      <c r="D24" s="188" t="n"/>
      <c r="E24" s="200" t="n"/>
      <c r="F24" s="200">
        <f>F22+F23</f>
        <v/>
      </c>
      <c r="G24" s="200">
        <f>G22+G23</f>
        <v/>
      </c>
      <c r="H24" s="200">
        <f>H22+H23</f>
        <v/>
      </c>
      <c r="I24" s="200">
        <f>I22+I23</f>
        <v/>
      </c>
      <c r="J24" s="200">
        <f>J22+J23</f>
        <v/>
      </c>
    </row>
    <row r="25" ht="14.25" customHeight="1" s="148">
      <c r="B25" s="147" t="inlineStr">
        <is>
          <t>(-) Cash Interest</t>
        </is>
      </c>
      <c r="D25" s="196">
        <f>N10</f>
        <v/>
      </c>
      <c r="E25" s="199" t="n"/>
      <c r="F25" s="199">
        <f>$E$12*-$D$25</f>
        <v/>
      </c>
      <c r="G25" s="199">
        <f>$E$12*-$D$25</f>
        <v/>
      </c>
      <c r="H25" s="199">
        <f>$E$12*-$D$25</f>
        <v/>
      </c>
      <c r="I25" s="199">
        <f>$E$12*-$D$25</f>
        <v/>
      </c>
      <c r="J25" s="199">
        <f>$E$12*-$D$25</f>
        <v/>
      </c>
    </row>
    <row r="26" ht="14.25" customHeight="1" s="148">
      <c r="B26" s="188" t="inlineStr">
        <is>
          <t>EBT</t>
        </is>
      </c>
      <c r="C26" s="188" t="n"/>
      <c r="D26" s="188" t="n"/>
      <c r="E26" s="200" t="n"/>
      <c r="F26" s="200">
        <f>F24+F25</f>
        <v/>
      </c>
      <c r="G26" s="200">
        <f>G24+G25</f>
        <v/>
      </c>
      <c r="H26" s="200">
        <f>H24+H25</f>
        <v/>
      </c>
      <c r="I26" s="200">
        <f>I24+I25</f>
        <v/>
      </c>
      <c r="J26" s="200">
        <f>J24+J25</f>
        <v/>
      </c>
    </row>
    <row r="27" ht="14.25" customHeight="1" s="148">
      <c r="B27" s="147" t="inlineStr">
        <is>
          <t>(-) Taxes</t>
        </is>
      </c>
      <c r="D27" s="196">
        <f>N11</f>
        <v/>
      </c>
      <c r="E27" s="199" t="n"/>
      <c r="F27" s="199">
        <f>F26*-$D27</f>
        <v/>
      </c>
      <c r="G27" s="199">
        <f>G26*-$D27</f>
        <v/>
      </c>
      <c r="H27" s="199">
        <f>H26*-$D27</f>
        <v/>
      </c>
      <c r="I27" s="199">
        <f>I26*-$D27</f>
        <v/>
      </c>
      <c r="J27" s="199">
        <f>J26*-$D27</f>
        <v/>
      </c>
    </row>
    <row r="28" ht="14.25" customHeight="1" s="148">
      <c r="B28" s="188" t="inlineStr">
        <is>
          <t>Net Income</t>
        </is>
      </c>
      <c r="C28" s="188" t="n"/>
      <c r="D28" s="188" t="n"/>
      <c r="E28" s="200" t="n"/>
      <c r="F28" s="200">
        <f>F26+F27</f>
        <v/>
      </c>
      <c r="G28" s="200">
        <f>G26+G27</f>
        <v/>
      </c>
      <c r="H28" s="200">
        <f>H26+H27</f>
        <v/>
      </c>
      <c r="I28" s="200">
        <f>I26+I27</f>
        <v/>
      </c>
      <c r="J28" s="200">
        <f>J26+J27</f>
        <v/>
      </c>
    </row>
    <row r="29" ht="14.25" customHeight="1" s="148">
      <c r="B29" s="147" t="inlineStr">
        <is>
          <t>(+) D&amp;A</t>
        </is>
      </c>
      <c r="E29" s="199" t="n"/>
      <c r="F29" s="199">
        <f>-F23</f>
        <v/>
      </c>
      <c r="G29" s="199">
        <f>-G23</f>
        <v/>
      </c>
      <c r="H29" s="199">
        <f>-H23</f>
        <v/>
      </c>
      <c r="I29" s="199">
        <f>-I23</f>
        <v/>
      </c>
      <c r="J29" s="199">
        <f>-J23</f>
        <v/>
      </c>
    </row>
    <row r="30" ht="14.25" customHeight="1" s="148">
      <c r="B30" s="147" t="inlineStr">
        <is>
          <t>(-) Capex</t>
        </is>
      </c>
      <c r="E30" s="199" t="n"/>
      <c r="F30" s="199">
        <f>-$N$16</f>
        <v/>
      </c>
      <c r="G30" s="199">
        <f>-$N$16</f>
        <v/>
      </c>
      <c r="H30" s="199">
        <f>-$N$16</f>
        <v/>
      </c>
      <c r="I30" s="199">
        <f>-$N$16</f>
        <v/>
      </c>
      <c r="J30" s="199">
        <f>-$N$16</f>
        <v/>
      </c>
    </row>
    <row r="31" ht="14.25" customHeight="1" s="148">
      <c r="B31" s="147" t="inlineStr">
        <is>
          <t>(-) Change in NWC</t>
        </is>
      </c>
      <c r="E31" s="199" t="n"/>
      <c r="F31" s="199">
        <f>$N$17</f>
        <v/>
      </c>
      <c r="G31" s="199">
        <f>$N$17</f>
        <v/>
      </c>
      <c r="H31" s="199">
        <f>$N$17</f>
        <v/>
      </c>
      <c r="I31" s="199">
        <f>$N$17</f>
        <v/>
      </c>
      <c r="J31" s="199">
        <f>$N$17</f>
        <v/>
      </c>
    </row>
    <row r="32" ht="14.25" customHeight="1" s="148">
      <c r="B32" s="188" t="inlineStr">
        <is>
          <t>Levered FCF</t>
        </is>
      </c>
      <c r="C32" s="188" t="n"/>
      <c r="D32" s="188" t="n"/>
      <c r="E32" s="200" t="n"/>
      <c r="F32" s="200">
        <f>SUM(F28:F31)</f>
        <v/>
      </c>
      <c r="G32" s="200">
        <f>SUM(G28:G31)</f>
        <v/>
      </c>
      <c r="H32" s="200">
        <f>SUM(H28:H31)</f>
        <v/>
      </c>
      <c r="I32" s="200">
        <f>SUM(I28:I31)</f>
        <v/>
      </c>
      <c r="J32" s="200">
        <f>SUM(J28:J31)</f>
        <v/>
      </c>
    </row>
    <row r="33" ht="14.25" customHeight="1" s="148">
      <c r="B33" s="193" t="inlineStr">
        <is>
          <t>Cumulative LFCF</t>
        </is>
      </c>
      <c r="E33" s="199" t="n"/>
      <c r="F33" s="201">
        <f>SUM($E32:F32)</f>
        <v/>
      </c>
      <c r="G33" s="201">
        <f>SUM($E32:G32)</f>
        <v/>
      </c>
      <c r="H33" s="201">
        <f>SUM($E32:H32)</f>
        <v/>
      </c>
      <c r="I33" s="201">
        <f>SUM($E32:I32)</f>
        <v/>
      </c>
      <c r="J33" s="201">
        <f>SUM($E32:J32)</f>
        <v/>
      </c>
    </row>
    <row r="35" ht="14.25" customHeight="1" s="148">
      <c r="B35" s="191" t="inlineStr">
        <is>
          <t>Returns — UNDERWRITTEN CASE (template mechanics: interest on opening debt, all LFCF accumulates as cash)</t>
        </is>
      </c>
      <c r="C35" s="192" t="n"/>
      <c r="D35" s="192" t="n"/>
      <c r="E35" s="174" t="n"/>
      <c r="F35" s="174" t="n"/>
      <c r="G35" s="174" t="n"/>
      <c r="H35" s="174" t="n"/>
      <c r="I35" s="174" t="n"/>
      <c r="J35" s="174" t="n"/>
    </row>
    <row r="37" ht="14.25" customHeight="1" s="148">
      <c r="B37" s="147" t="inlineStr">
        <is>
          <t>Exit EBITDA (2024)</t>
        </is>
      </c>
      <c r="E37" s="199">
        <f>J18</f>
        <v/>
      </c>
    </row>
    <row r="38" ht="14.25" customHeight="1" s="148">
      <c r="B38" s="147" t="inlineStr">
        <is>
          <t>(x) Exit Multiple</t>
        </is>
      </c>
      <c r="E38" s="164">
        <f>N18</f>
        <v/>
      </c>
    </row>
    <row r="39" ht="14.25" customHeight="1" s="148">
      <c r="B39" s="202" t="inlineStr">
        <is>
          <t>Enterprise Value</t>
        </is>
      </c>
      <c r="C39" s="202" t="n"/>
      <c r="D39" s="202" t="n"/>
      <c r="E39" s="203">
        <f>E37*E38</f>
        <v/>
      </c>
    </row>
    <row r="40" ht="14.25" customHeight="1" s="148">
      <c r="B40" s="147" t="inlineStr">
        <is>
          <t>(-) Debt</t>
        </is>
      </c>
      <c r="E40" s="199">
        <f>-E12</f>
        <v/>
      </c>
    </row>
    <row r="41" ht="14.25" customHeight="1" s="148">
      <c r="B41" s="147" t="inlineStr">
        <is>
          <t>(+) Cash</t>
        </is>
      </c>
      <c r="E41" s="199">
        <f>J33</f>
        <v/>
      </c>
    </row>
    <row r="42" ht="14.25" customHeight="1" s="148">
      <c r="B42" s="202" t="inlineStr">
        <is>
          <t>Equity Value at Exit</t>
        </is>
      </c>
      <c r="C42" s="202" t="n"/>
      <c r="D42" s="202" t="n"/>
      <c r="E42" s="203">
        <f>SUM(E39:E41)</f>
        <v/>
      </c>
    </row>
    <row r="43" ht="14.25" customHeight="1" s="148">
      <c r="B43" s="147" t="inlineStr">
        <is>
          <t xml:space="preserve">Initial Equity Investment </t>
        </is>
      </c>
      <c r="E43" s="199">
        <f>E6</f>
        <v/>
      </c>
    </row>
    <row r="45" ht="14.25" customHeight="1" s="148">
      <c r="B45" s="147" t="inlineStr">
        <is>
          <t>MoM</t>
        </is>
      </c>
      <c r="E45" s="164">
        <f>E42/E43</f>
        <v/>
      </c>
    </row>
    <row r="46" ht="14.25" customHeight="1" s="148">
      <c r="B46" s="147" t="inlineStr">
        <is>
          <t>IRR</t>
        </is>
      </c>
      <c r="E46" s="177">
        <f>XIRR(E48:E49,B48:B49)</f>
        <v/>
      </c>
    </row>
    <row r="48" ht="14.25" customHeight="1" s="148">
      <c r="B48" s="204">
        <f>N19</f>
        <v/>
      </c>
      <c r="E48" s="199">
        <f>-E6</f>
        <v/>
      </c>
    </row>
    <row r="49" ht="14.25" customHeight="1" s="148">
      <c r="B49" s="204">
        <f>N20</f>
        <v/>
      </c>
      <c r="E49" s="199">
        <f>E42</f>
        <v/>
      </c>
    </row>
    <row r="52" ht="14.25" customHeight="1" s="148">
      <c r="B52" s="205" t="inlineStr">
        <is>
          <t>ACTUAL OUTCOME</t>
        </is>
      </c>
      <c r="C52" s="206" t="n"/>
      <c r="D52" s="206" t="n"/>
      <c r="E52" s="206" t="n"/>
      <c r="F52" s="206" t="n"/>
      <c r="G52" s="206" t="n"/>
      <c r="H52" s="206" t="n"/>
      <c r="I52" s="206" t="n"/>
      <c r="J52" s="206" t="n"/>
    </row>
    <row r="53" ht="14.25" customHeight="1" s="148">
      <c r="B53" s="207" t="inlineStr">
        <is>
          <t>Exit enterprise value, actual ($m)</t>
        </is>
      </c>
      <c r="E53" s="155" t="inlineStr">
        <is>
          <t>undisclosed</t>
        </is>
      </c>
    </row>
    <row r="54" ht="14.25" customHeight="1" s="148">
      <c r="B54" s="207" t="inlineStr">
        <is>
          <t>Debt at exit ($m)</t>
        </is>
      </c>
    </row>
    <row r="55" ht="14.25" customHeight="1" s="148">
      <c r="B55" s="207" t="inlineStr">
        <is>
          <t>Equity value at exit ($m)</t>
        </is>
      </c>
    </row>
    <row r="56" ht="14.25" customHeight="1" s="148">
      <c r="B56" s="207" t="inlineStr">
        <is>
          <t>Equity invested (from Sources) ($m)</t>
        </is>
      </c>
    </row>
    <row r="57" ht="14.25" customHeight="1" s="148">
      <c r="B57" s="207" t="inlineStr">
        <is>
          <t>MoM, actual</t>
        </is>
      </c>
    </row>
    <row r="58" ht="14.25" customHeight="1" s="148">
      <c r="B58" s="207" t="inlineStr">
        <is>
          <t>IRR, actual</t>
        </is>
      </c>
    </row>
    <row r="59" ht="14.25" customHeight="1" s="148">
      <c r="B59" s="207" t="inlineStr">
        <is>
          <t>MoM variance vs underwritten</t>
        </is>
      </c>
    </row>
    <row r="60" ht="14.25" customHeight="1" s="148">
      <c r="B60" s="207" t="inlineStr">
        <is>
          <t>IRR variance vs underwritten (pts)</t>
        </is>
      </c>
    </row>
    <row r="65" ht="14.25" customHeight="1" s="148">
      <c r="B65" s="163" t="inlineStr">
        <is>
          <t>Actual outcome note:</t>
        </is>
      </c>
    </row>
    <row r="66" ht="14.25" customHeight="1" s="148">
      <c r="B66" s="151" t="inlineStr">
        <is>
          <t>Never exited. Synergies: $175m run-rate in 2021 vs $135m plan, $259m cumulative 2022, $300m completed 2023. Winter Storm Uri cost NRG $967m in Q1-2021, six weeks after closing. NRG East segment adjusted EBITDA (closest proxy for the ex-Texas Direct Energy book): $437m 2020, $988m 2021, $773m 2022, $780m 2023, $1,006m 2024.</t>
        </is>
      </c>
    </row>
    <row r="67" ht="14.25" customHeight="1" s="148"/>
    <row r="68" ht="14.25" customHeight="1" s="148"/>
    <row r="69" ht="14.25" customHeight="1" s="148"/>
    <row r="71" ht="14.25" customHeight="1" s="148">
      <c r="B71" s="163" t="inlineStr">
        <is>
          <t>Deal note:</t>
        </is>
      </c>
    </row>
    <row r="72" ht="14.25" customHeight="1" s="148">
      <c r="B72" s="151" t="inlineStr">
        <is>
          <t>Not a sponsor deal. Financed with investment-grade-style notes at 2.9%, so the equity is simply the ~$700m not covered by the notes. Shown to isolate what a 7.9x entry with a $300m synergy plan implies.</t>
        </is>
      </c>
    </row>
    <row r="73" ht="14.25" customHeight="1" s="148"/>
    <row r="74" ht="14.25" customHeight="1" s="148"/>
    <row r="75" ht="14.25" customHeight="1" s="148"/>
    <row r="77" ht="14.25" customHeight="1" s="148">
      <c r="B77" s="155" t="inlineStr">
        <is>
          <t>Classification: STRATEGIC corporate carve-out, note-financed (not an LBO)  |  Status: Held; $300m synergy programme completed 2023</t>
        </is>
      </c>
    </row>
  </sheetData>
  <mergeCells count="6">
    <mergeCell ref="B3:J3"/>
    <mergeCell ref="B4:E4"/>
    <mergeCell ref="G4:J4"/>
    <mergeCell ref="B66:J69"/>
    <mergeCell ref="B72:J75"/>
    <mergeCell ref="B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44546A"/>
    <outlinePr summaryBelow="1" summaryRight="1"/>
    <pageSetUpPr fitToPage="0"/>
  </sheetPr>
  <dimension ref="B2:P77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.45" customWidth="1" style="147" min="2" max="2"/>
    <col width="10.45" customWidth="1" style="147" min="6" max="6"/>
    <col width="30" customWidth="1" style="147" min="12" max="12"/>
    <col width="3" customWidth="1" style="147" min="13" max="13"/>
    <col width="14" customWidth="1" style="147" min="14" max="14"/>
    <col width="6" customWidth="1" style="147" min="15" max="15"/>
    <col width="70" customWidth="1" style="147" min="16" max="16"/>
  </cols>
  <sheetData>
    <row r="2" ht="17.35" customHeight="1" s="148">
      <c r="B2" s="173" t="inlineStr">
        <is>
          <t>Wind Point / Pacific Cycle (2000-04) — Paper LBO</t>
        </is>
      </c>
    </row>
    <row r="4" ht="14.25" customHeight="1" s="148">
      <c r="B4" s="174" t="inlineStr">
        <is>
          <t>Sources</t>
        </is>
      </c>
      <c r="G4" s="174" t="inlineStr">
        <is>
          <t>Uses</t>
        </is>
      </c>
      <c r="L4" s="175" t="inlineStr">
        <is>
          <t>INPUTS</t>
        </is>
      </c>
      <c r="N4" s="175" t="inlineStr">
        <is>
          <t>Value</t>
        </is>
      </c>
      <c r="O4" s="175" t="inlineStr">
        <is>
          <t>Tag</t>
        </is>
      </c>
      <c r="P4" s="175" t="inlineStr">
        <is>
          <t>Source  (F = filed / rating agency, P = press, A = assumption; blue = assumption)</t>
        </is>
      </c>
    </row>
    <row r="5" ht="22.35" customHeight="1" s="148">
      <c r="B5" s="147" t="inlineStr">
        <is>
          <t>Debt</t>
        </is>
      </c>
      <c r="E5" s="176">
        <f>E12</f>
        <v/>
      </c>
      <c r="F5" s="177" t="n"/>
      <c r="G5" s="147" t="inlineStr">
        <is>
          <t>Purchase Price</t>
        </is>
      </c>
      <c r="J5" s="176">
        <f>J12</f>
        <v/>
      </c>
      <c r="L5" s="178" t="inlineStr">
        <is>
          <t>Entry enterprise value ($m)</t>
        </is>
      </c>
      <c r="N5" s="179" t="n">
        <v>146</v>
      </c>
      <c r="O5" s="180" t="inlineStr">
        <is>
          <t>P</t>
        </is>
      </c>
      <c r="P5" s="181" t="inlineStr">
        <is>
          <t>$60m Brunswick bicycle business + $86m Schwinn/GT auction (Forbes, Lincoln International, Crain's)</t>
        </is>
      </c>
    </row>
    <row r="6" ht="14.25" customHeight="1" s="148">
      <c r="B6" s="147" t="inlineStr">
        <is>
          <t>Equity (plug)</t>
        </is>
      </c>
      <c r="E6" s="176">
        <f>E7-E5</f>
        <v/>
      </c>
      <c r="L6" s="178" t="inlineStr">
        <is>
          <t>Entry EBITDA, LTM ($m)</t>
        </is>
      </c>
      <c r="N6" s="190" t="n">
        <v>22</v>
      </c>
      <c r="O6" s="180" t="inlineStr">
        <is>
          <t>A</t>
        </is>
      </c>
      <c r="P6" s="181" t="inlineStr">
        <is>
          <t>Assumption: ~8% margin on 2001 revenue (no EBITDA ever disclosed)</t>
        </is>
      </c>
    </row>
    <row r="7" ht="14.25" customHeight="1" s="148">
      <c r="B7" s="182" t="inlineStr">
        <is>
          <t>Total Sources</t>
        </is>
      </c>
      <c r="C7" s="182" t="n"/>
      <c r="D7" s="182" t="n"/>
      <c r="E7" s="183">
        <f>J7</f>
        <v/>
      </c>
      <c r="G7" s="182" t="inlineStr">
        <is>
          <t>Total Uses</t>
        </is>
      </c>
      <c r="H7" s="182" t="n"/>
      <c r="I7" s="182" t="n"/>
      <c r="J7" s="183">
        <f>J5</f>
        <v/>
      </c>
      <c r="L7" s="178" t="inlineStr">
        <is>
          <t>Entry multiple (x)</t>
        </is>
      </c>
      <c r="N7" s="184">
        <f>N5/N6</f>
        <v/>
      </c>
      <c r="O7" s="180" t="inlineStr">
        <is>
          <t>calc</t>
        </is>
      </c>
      <c r="P7" s="181" t="inlineStr">
        <is>
          <t>Derived</t>
        </is>
      </c>
    </row>
    <row r="8" ht="22.35" customHeight="1" s="148">
      <c r="L8" s="178" t="inlineStr">
        <is>
          <t>Debt raised ($m)</t>
        </is>
      </c>
      <c r="N8" s="190" t="n">
        <v>120</v>
      </c>
      <c r="O8" s="180" t="inlineStr">
        <is>
          <t>A</t>
        </is>
      </c>
      <c r="P8" s="181" t="inlineStr">
        <is>
          <t>Assumption: Wind Point put $3m of equity into the $60m Brunswick deal (Forbes); structure otherwise undisclosed</t>
        </is>
      </c>
    </row>
    <row r="9" ht="14.25" customHeight="1" s="148">
      <c r="B9" s="185" t="inlineStr">
        <is>
          <t>Build to Debt</t>
        </is>
      </c>
      <c r="G9" s="185" t="inlineStr">
        <is>
          <t>Build to Purchase Price</t>
        </is>
      </c>
      <c r="L9" s="178" t="inlineStr">
        <is>
          <t>Leverage (x EBITDA)</t>
        </is>
      </c>
      <c r="N9" s="184">
        <f>N8/N6</f>
        <v/>
      </c>
      <c r="O9" s="180" t="inlineStr">
        <is>
          <t>calc</t>
        </is>
      </c>
      <c r="P9" s="181" t="inlineStr">
        <is>
          <t>Derived</t>
        </is>
      </c>
    </row>
    <row r="10" ht="14.25" customHeight="1" s="148">
      <c r="B10" s="147" t="inlineStr">
        <is>
          <t>2001 EBITDA (LTM)</t>
        </is>
      </c>
      <c r="E10" s="176">
        <f>E18</f>
        <v/>
      </c>
      <c r="G10" s="147" t="inlineStr">
        <is>
          <t>2001 EBITDA (LTM)</t>
        </is>
      </c>
      <c r="J10" s="176">
        <f>E18</f>
        <v/>
      </c>
      <c r="L10" s="178" t="inlineStr">
        <is>
          <t>Blended cash interest rate</t>
        </is>
      </c>
      <c r="N10" s="187" t="n">
        <v>0.08</v>
      </c>
      <c r="O10" s="180" t="inlineStr">
        <is>
          <t>A</t>
        </is>
      </c>
      <c r="P10" s="181" t="inlineStr">
        <is>
          <t>Assumption</t>
        </is>
      </c>
    </row>
    <row r="11" ht="14.25" customHeight="1" s="148">
      <c r="B11" s="147" t="inlineStr">
        <is>
          <t>(x) Leverage</t>
        </is>
      </c>
      <c r="E11" s="164">
        <f>N9</f>
        <v/>
      </c>
      <c r="G11" s="147" t="inlineStr">
        <is>
          <t>(x) Multiple of 2023 EBITDA</t>
        </is>
      </c>
      <c r="J11" s="164">
        <f>N7</f>
        <v/>
      </c>
      <c r="L11" s="178" t="inlineStr">
        <is>
          <t>Tax rate</t>
        </is>
      </c>
      <c r="N11" s="187" t="n">
        <v>0.38</v>
      </c>
      <c r="O11" s="180" t="inlineStr">
        <is>
          <t>A</t>
        </is>
      </c>
      <c r="P11" s="181" t="inlineStr">
        <is>
          <t>Assumption</t>
        </is>
      </c>
    </row>
    <row r="12" ht="14.25" customHeight="1" s="148">
      <c r="B12" s="188" t="inlineStr">
        <is>
          <t>Debt</t>
        </is>
      </c>
      <c r="C12" s="188" t="n"/>
      <c r="D12" s="188" t="n"/>
      <c r="E12" s="189">
        <f>E10*E11</f>
        <v/>
      </c>
      <c r="G12" s="188" t="inlineStr">
        <is>
          <t>Purchase Price</t>
        </is>
      </c>
      <c r="H12" s="188" t="n"/>
      <c r="I12" s="188" t="n"/>
      <c r="J12" s="189">
        <f>J10*J11</f>
        <v/>
      </c>
      <c r="L12" s="178" t="inlineStr">
        <is>
          <t>Base-year revenue ($m)</t>
        </is>
      </c>
      <c r="N12" s="179" t="n">
        <v>280</v>
      </c>
      <c r="O12" s="180" t="inlineStr">
        <is>
          <t>P</t>
        </is>
      </c>
      <c r="P12" s="181" t="inlineStr">
        <is>
          <t>Forbes (Oct-2002): 2001 revenue ~$280m after Brunswick and Schwinn/GT</t>
        </is>
      </c>
    </row>
    <row r="13" ht="14.25" customHeight="1" s="148">
      <c r="L13" s="178" t="inlineStr">
        <is>
          <t>Incremental revenue p.a. ($m)</t>
        </is>
      </c>
      <c r="N13" s="179" t="n">
        <v>22</v>
      </c>
      <c r="O13" s="180" t="inlineStr">
        <is>
          <t>F</t>
        </is>
      </c>
      <c r="P13" s="181" t="inlineStr">
        <is>
          <t>2003 sales 'in excess of US$325m' (Dorel 6-K)</t>
        </is>
      </c>
    </row>
    <row r="14" ht="14.25" customHeight="1" s="148">
      <c r="B14" s="191" t="inlineStr">
        <is>
          <t>Simple P&amp;L</t>
        </is>
      </c>
      <c r="C14" s="192" t="n"/>
      <c r="D14" s="192" t="n"/>
      <c r="E14" s="174" t="n">
        <v>2001</v>
      </c>
      <c r="F14" s="174">
        <f>E14+1</f>
        <v/>
      </c>
      <c r="G14" s="174">
        <f>F14+1</f>
        <v/>
      </c>
      <c r="H14" s="174">
        <f>G14+1</f>
        <v/>
      </c>
      <c r="I14" s="174">
        <f>H14+1</f>
        <v/>
      </c>
      <c r="J14" s="174">
        <f>I14+1</f>
        <v/>
      </c>
      <c r="L14" s="178" t="inlineStr">
        <is>
          <t>EBITDA margin, base year</t>
        </is>
      </c>
      <c r="N14" s="186">
        <f>N6/N12</f>
        <v/>
      </c>
      <c r="O14" s="180" t="inlineStr">
        <is>
          <t>calc</t>
        </is>
      </c>
      <c r="P14" s="181" t="inlineStr">
        <is>
          <t>Derived</t>
        </is>
      </c>
    </row>
    <row r="15" ht="14.25" customHeight="1" s="148">
      <c r="B15" s="147" t="inlineStr">
        <is>
          <t>Revenue</t>
        </is>
      </c>
      <c r="E15" s="176">
        <f>N12</f>
        <v/>
      </c>
      <c r="F15" s="176">
        <f>E15+F16</f>
        <v/>
      </c>
      <c r="G15" s="176">
        <f>F15+G16</f>
        <v/>
      </c>
      <c r="H15" s="176">
        <f>G15+H16</f>
        <v/>
      </c>
      <c r="I15" s="176">
        <f>H15+I16</f>
        <v/>
      </c>
      <c r="J15" s="176">
        <f>I15+J16</f>
        <v/>
      </c>
      <c r="L15" s="178" t="inlineStr">
        <is>
          <t>D&amp;A p.a. ($m)</t>
        </is>
      </c>
      <c r="N15" s="179" t="n">
        <v>1</v>
      </c>
      <c r="O15" s="180" t="inlineStr">
        <is>
          <t>F</t>
        </is>
      </c>
      <c r="P15" s="181" t="inlineStr">
        <is>
          <t>Dorel recorded only $0.5m of segment D&amp;A in 2004; asset-light importer</t>
        </is>
      </c>
    </row>
    <row r="16" ht="14.25" customHeight="1" s="148">
      <c r="B16" s="193" t="inlineStr">
        <is>
          <t>$ Incremental Revenue</t>
        </is>
      </c>
      <c r="F16" s="194">
        <f>N13</f>
        <v/>
      </c>
      <c r="G16" s="194">
        <f>F16</f>
        <v/>
      </c>
      <c r="H16" s="194">
        <f>G16</f>
        <v/>
      </c>
      <c r="I16" s="194">
        <f>H16</f>
        <v/>
      </c>
      <c r="J16" s="194">
        <f>I16</f>
        <v/>
      </c>
      <c r="L16" s="178" t="inlineStr">
        <is>
          <t>Capex p.a. ($m)</t>
        </is>
      </c>
      <c r="N16" s="190" t="n">
        <v>1.5</v>
      </c>
      <c r="O16" s="180" t="inlineStr">
        <is>
          <t>A</t>
        </is>
      </c>
      <c r="P16" s="181" t="inlineStr">
        <is>
          <t>Assumption</t>
        </is>
      </c>
    </row>
    <row r="17" ht="14.25" customHeight="1" s="148">
      <c r="L17" s="178" t="inlineStr">
        <is>
          <t>Change in NWC p.a. ($m, negative = investment)</t>
        </is>
      </c>
      <c r="N17" s="190" t="n">
        <v>-3</v>
      </c>
      <c r="O17" s="180" t="inlineStr">
        <is>
          <t>A</t>
        </is>
      </c>
      <c r="P17" s="181" t="inlineStr">
        <is>
          <t>Growth working capital, assumption</t>
        </is>
      </c>
    </row>
    <row r="18" ht="14.25" customHeight="1" s="148">
      <c r="B18" s="147" t="inlineStr">
        <is>
          <t>EBITDA</t>
        </is>
      </c>
      <c r="E18" s="176">
        <f>E19*E15</f>
        <v/>
      </c>
      <c r="F18" s="176">
        <f>F19*F15</f>
        <v/>
      </c>
      <c r="G18" s="176">
        <f>G19*G15</f>
        <v/>
      </c>
      <c r="H18" s="176">
        <f>H19*H15</f>
        <v/>
      </c>
      <c r="I18" s="176">
        <f>I19*I15</f>
        <v/>
      </c>
      <c r="J18" s="176">
        <f>J19*J15</f>
        <v/>
      </c>
      <c r="L18" s="178" t="inlineStr">
        <is>
          <t>Exit multiple (x)</t>
        </is>
      </c>
      <c r="N18" s="184" t="n">
        <v>5.8</v>
      </c>
      <c r="O18" s="180" t="inlineStr">
        <is>
          <t>F</t>
        </is>
      </c>
      <c r="P18" s="181" t="inlineStr">
        <is>
          <t>$310m / annualised 2004 segment EBIT $53.9m (Dorel FY2004 MD&amp;A); D&amp;A negligible</t>
        </is>
      </c>
    </row>
    <row r="19" ht="14.25" customHeight="1" s="148">
      <c r="B19" s="193" t="inlineStr">
        <is>
          <t>% margin</t>
        </is>
      </c>
      <c r="E19" s="196">
        <f>N14</f>
        <v/>
      </c>
      <c r="F19" s="196">
        <f>E19</f>
        <v/>
      </c>
      <c r="G19" s="196">
        <f>F19</f>
        <v/>
      </c>
      <c r="H19" s="196">
        <f>G19</f>
        <v/>
      </c>
      <c r="I19" s="196">
        <f>H19</f>
        <v/>
      </c>
      <c r="J19" s="196">
        <f>I19</f>
        <v/>
      </c>
      <c r="L19" s="178" t="inlineStr">
        <is>
          <t>Entry date</t>
        </is>
      </c>
      <c r="N19" s="197" t="n">
        <v>37164</v>
      </c>
      <c r="O19" s="180" t="inlineStr">
        <is>
          <t>F</t>
        </is>
      </c>
      <c r="P19" s="181" t="inlineStr">
        <is>
          <t>Closing date per filings</t>
        </is>
      </c>
    </row>
    <row r="20" ht="14.25" customHeight="1" s="148">
      <c r="L20" s="178" t="inlineStr">
        <is>
          <t>Underwritten exit date (5-year hold)</t>
        </is>
      </c>
      <c r="N20" s="198" t="n">
        <v>38988</v>
      </c>
      <c r="O20" s="180" t="inlineStr">
        <is>
          <t>A</t>
        </is>
      </c>
      <c r="P20" s="181" t="inlineStr">
        <is>
          <t>Template convention: five projection years</t>
        </is>
      </c>
    </row>
    <row r="21" ht="14.25" customHeight="1" s="148">
      <c r="B21" s="185" t="inlineStr">
        <is>
          <t>LFCF Build</t>
        </is>
      </c>
      <c r="L21" s="178" t="inlineStr">
        <is>
          <t>Actual exit / valuation date</t>
        </is>
      </c>
      <c r="N21" s="197" t="n">
        <v>38020</v>
      </c>
      <c r="O21" s="180" t="inlineStr">
        <is>
          <t>F</t>
        </is>
      </c>
      <c r="P21" s="181" t="inlineStr">
        <is>
          <t>Realised exit date per filings</t>
        </is>
      </c>
    </row>
    <row r="22" ht="14.25" customHeight="1" s="148">
      <c r="B22" s="147" t="inlineStr">
        <is>
          <t>EBITDA</t>
        </is>
      </c>
      <c r="E22" s="199" t="n"/>
      <c r="F22" s="199">
        <f>F18</f>
        <v/>
      </c>
      <c r="G22" s="199">
        <f>G18</f>
        <v/>
      </c>
      <c r="H22" s="199">
        <f>H18</f>
        <v/>
      </c>
      <c r="I22" s="199">
        <f>I18</f>
        <v/>
      </c>
      <c r="J22" s="199">
        <f>J18</f>
        <v/>
      </c>
    </row>
    <row r="23" ht="14.25" customHeight="1" s="148">
      <c r="B23" s="147" t="inlineStr">
        <is>
          <t>(-) D&amp;A</t>
        </is>
      </c>
      <c r="E23" s="199" t="n"/>
      <c r="F23" s="199">
        <f>-$N$15</f>
        <v/>
      </c>
      <c r="G23" s="199">
        <f>-$N$15</f>
        <v/>
      </c>
      <c r="H23" s="199">
        <f>-$N$15</f>
        <v/>
      </c>
      <c r="I23" s="199">
        <f>-$N$15</f>
        <v/>
      </c>
      <c r="J23" s="199">
        <f>-$N$15</f>
        <v/>
      </c>
    </row>
    <row r="24" ht="14.25" customHeight="1" s="148">
      <c r="B24" s="188" t="inlineStr">
        <is>
          <t>EBIT</t>
        </is>
      </c>
      <c r="C24" s="188" t="n"/>
      <c r="D24" s="188" t="n"/>
      <c r="E24" s="200" t="n"/>
      <c r="F24" s="200">
        <f>F22+F23</f>
        <v/>
      </c>
      <c r="G24" s="200">
        <f>G22+G23</f>
        <v/>
      </c>
      <c r="H24" s="200">
        <f>H22+H23</f>
        <v/>
      </c>
      <c r="I24" s="200">
        <f>I22+I23</f>
        <v/>
      </c>
      <c r="J24" s="200">
        <f>J22+J23</f>
        <v/>
      </c>
    </row>
    <row r="25" ht="14.25" customHeight="1" s="148">
      <c r="B25" s="147" t="inlineStr">
        <is>
          <t>(-) Cash Interest</t>
        </is>
      </c>
      <c r="D25" s="196">
        <f>N10</f>
        <v/>
      </c>
      <c r="E25" s="199" t="n"/>
      <c r="F25" s="199">
        <f>$E$12*-$D$25</f>
        <v/>
      </c>
      <c r="G25" s="199">
        <f>$E$12*-$D$25</f>
        <v/>
      </c>
      <c r="H25" s="199">
        <f>$E$12*-$D$25</f>
        <v/>
      </c>
      <c r="I25" s="199">
        <f>$E$12*-$D$25</f>
        <v/>
      </c>
      <c r="J25" s="199">
        <f>$E$12*-$D$25</f>
        <v/>
      </c>
    </row>
    <row r="26" ht="14.25" customHeight="1" s="148">
      <c r="B26" s="188" t="inlineStr">
        <is>
          <t>EBT</t>
        </is>
      </c>
      <c r="C26" s="188" t="n"/>
      <c r="D26" s="188" t="n"/>
      <c r="E26" s="200" t="n"/>
      <c r="F26" s="200">
        <f>F24+F25</f>
        <v/>
      </c>
      <c r="G26" s="200">
        <f>G24+G25</f>
        <v/>
      </c>
      <c r="H26" s="200">
        <f>H24+H25</f>
        <v/>
      </c>
      <c r="I26" s="200">
        <f>I24+I25</f>
        <v/>
      </c>
      <c r="J26" s="200">
        <f>J24+J25</f>
        <v/>
      </c>
    </row>
    <row r="27" ht="14.25" customHeight="1" s="148">
      <c r="B27" s="147" t="inlineStr">
        <is>
          <t>(-) Taxes</t>
        </is>
      </c>
      <c r="D27" s="196">
        <f>N11</f>
        <v/>
      </c>
      <c r="E27" s="199" t="n"/>
      <c r="F27" s="199">
        <f>F26*-$D27</f>
        <v/>
      </c>
      <c r="G27" s="199">
        <f>G26*-$D27</f>
        <v/>
      </c>
      <c r="H27" s="199">
        <f>H26*-$D27</f>
        <v/>
      </c>
      <c r="I27" s="199">
        <f>I26*-$D27</f>
        <v/>
      </c>
      <c r="J27" s="199">
        <f>J26*-$D27</f>
        <v/>
      </c>
    </row>
    <row r="28" ht="14.25" customHeight="1" s="148">
      <c r="B28" s="188" t="inlineStr">
        <is>
          <t>Net Income</t>
        </is>
      </c>
      <c r="C28" s="188" t="n"/>
      <c r="D28" s="188" t="n"/>
      <c r="E28" s="200" t="n"/>
      <c r="F28" s="200">
        <f>F26+F27</f>
        <v/>
      </c>
      <c r="G28" s="200">
        <f>G26+G27</f>
        <v/>
      </c>
      <c r="H28" s="200">
        <f>H26+H27</f>
        <v/>
      </c>
      <c r="I28" s="200">
        <f>I26+I27</f>
        <v/>
      </c>
      <c r="J28" s="200">
        <f>J26+J27</f>
        <v/>
      </c>
    </row>
    <row r="29" ht="14.25" customHeight="1" s="148">
      <c r="B29" s="147" t="inlineStr">
        <is>
          <t>(+) D&amp;A</t>
        </is>
      </c>
      <c r="E29" s="199" t="n"/>
      <c r="F29" s="199">
        <f>-F23</f>
        <v/>
      </c>
      <c r="G29" s="199">
        <f>-G23</f>
        <v/>
      </c>
      <c r="H29" s="199">
        <f>-H23</f>
        <v/>
      </c>
      <c r="I29" s="199">
        <f>-I23</f>
        <v/>
      </c>
      <c r="J29" s="199">
        <f>-J23</f>
        <v/>
      </c>
    </row>
    <row r="30" ht="14.25" customHeight="1" s="148">
      <c r="B30" s="147" t="inlineStr">
        <is>
          <t>(-) Capex</t>
        </is>
      </c>
      <c r="E30" s="199" t="n"/>
      <c r="F30" s="199">
        <f>-$N$16</f>
        <v/>
      </c>
      <c r="G30" s="199">
        <f>-$N$16</f>
        <v/>
      </c>
      <c r="H30" s="199">
        <f>-$N$16</f>
        <v/>
      </c>
      <c r="I30" s="199">
        <f>-$N$16</f>
        <v/>
      </c>
      <c r="J30" s="199">
        <f>-$N$16</f>
        <v/>
      </c>
    </row>
    <row r="31" ht="14.25" customHeight="1" s="148">
      <c r="B31" s="147" t="inlineStr">
        <is>
          <t>(-) Change in NWC</t>
        </is>
      </c>
      <c r="E31" s="199" t="n"/>
      <c r="F31" s="199">
        <f>$N$17</f>
        <v/>
      </c>
      <c r="G31" s="199">
        <f>$N$17</f>
        <v/>
      </c>
      <c r="H31" s="199">
        <f>$N$17</f>
        <v/>
      </c>
      <c r="I31" s="199">
        <f>$N$17</f>
        <v/>
      </c>
      <c r="J31" s="199">
        <f>$N$17</f>
        <v/>
      </c>
    </row>
    <row r="32" ht="14.25" customHeight="1" s="148">
      <c r="B32" s="188" t="inlineStr">
        <is>
          <t>Levered FCF</t>
        </is>
      </c>
      <c r="C32" s="188" t="n"/>
      <c r="D32" s="188" t="n"/>
      <c r="E32" s="200" t="n"/>
      <c r="F32" s="200">
        <f>SUM(F28:F31)</f>
        <v/>
      </c>
      <c r="G32" s="200">
        <f>SUM(G28:G31)</f>
        <v/>
      </c>
      <c r="H32" s="200">
        <f>SUM(H28:H31)</f>
        <v/>
      </c>
      <c r="I32" s="200">
        <f>SUM(I28:I31)</f>
        <v/>
      </c>
      <c r="J32" s="200">
        <f>SUM(J28:J31)</f>
        <v/>
      </c>
    </row>
    <row r="33" ht="14.25" customHeight="1" s="148">
      <c r="B33" s="193" t="inlineStr">
        <is>
          <t>Cumulative LFCF</t>
        </is>
      </c>
      <c r="E33" s="199" t="n"/>
      <c r="F33" s="201">
        <f>SUM($E32:F32)</f>
        <v/>
      </c>
      <c r="G33" s="201">
        <f>SUM($E32:G32)</f>
        <v/>
      </c>
      <c r="H33" s="201">
        <f>SUM($E32:H32)</f>
        <v/>
      </c>
      <c r="I33" s="201">
        <f>SUM($E32:I32)</f>
        <v/>
      </c>
      <c r="J33" s="201">
        <f>SUM($E32:J32)</f>
        <v/>
      </c>
    </row>
    <row r="35" ht="14.25" customHeight="1" s="148">
      <c r="B35" s="191" t="inlineStr">
        <is>
          <t>Returns — UNDERWRITTEN CASE (template mechanics: interest on opening debt, all LFCF accumulates as cash)</t>
        </is>
      </c>
      <c r="C35" s="192" t="n"/>
      <c r="D35" s="192" t="n"/>
      <c r="E35" s="174" t="n"/>
      <c r="F35" s="174" t="n"/>
      <c r="G35" s="174" t="n"/>
      <c r="H35" s="174" t="n"/>
      <c r="I35" s="174" t="n"/>
      <c r="J35" s="174" t="n"/>
    </row>
    <row r="37" ht="14.25" customHeight="1" s="148">
      <c r="B37" s="147" t="inlineStr">
        <is>
          <t>Exit EBITDA (2006)</t>
        </is>
      </c>
      <c r="E37" s="199">
        <f>J18</f>
        <v/>
      </c>
    </row>
    <row r="38" ht="14.25" customHeight="1" s="148">
      <c r="B38" s="147" t="inlineStr">
        <is>
          <t>(x) Exit Multiple</t>
        </is>
      </c>
      <c r="E38" s="164">
        <f>N18</f>
        <v/>
      </c>
    </row>
    <row r="39" ht="14.25" customHeight="1" s="148">
      <c r="B39" s="202" t="inlineStr">
        <is>
          <t>Enterprise Value</t>
        </is>
      </c>
      <c r="C39" s="202" t="n"/>
      <c r="D39" s="202" t="n"/>
      <c r="E39" s="203">
        <f>E37*E38</f>
        <v/>
      </c>
    </row>
    <row r="40" ht="14.25" customHeight="1" s="148">
      <c r="B40" s="147" t="inlineStr">
        <is>
          <t>(-) Debt</t>
        </is>
      </c>
      <c r="E40" s="199">
        <f>-E12</f>
        <v/>
      </c>
    </row>
    <row r="41" ht="14.25" customHeight="1" s="148">
      <c r="B41" s="147" t="inlineStr">
        <is>
          <t>(+) Cash</t>
        </is>
      </c>
      <c r="E41" s="199">
        <f>J33</f>
        <v/>
      </c>
    </row>
    <row r="42" ht="14.25" customHeight="1" s="148">
      <c r="B42" s="202" t="inlineStr">
        <is>
          <t>Equity Value at Exit</t>
        </is>
      </c>
      <c r="C42" s="202" t="n"/>
      <c r="D42" s="202" t="n"/>
      <c r="E42" s="203">
        <f>SUM(E39:E41)</f>
        <v/>
      </c>
    </row>
    <row r="43" ht="14.25" customHeight="1" s="148">
      <c r="B43" s="147" t="inlineStr">
        <is>
          <t xml:space="preserve">Initial Equity Investment </t>
        </is>
      </c>
      <c r="E43" s="199">
        <f>E6</f>
        <v/>
      </c>
    </row>
    <row r="45" ht="14.25" customHeight="1" s="148">
      <c r="B45" s="147" t="inlineStr">
        <is>
          <t>MoM</t>
        </is>
      </c>
      <c r="E45" s="164">
        <f>E42/E43</f>
        <v/>
      </c>
    </row>
    <row r="46" ht="14.25" customHeight="1" s="148">
      <c r="B46" s="147" t="inlineStr">
        <is>
          <t>IRR</t>
        </is>
      </c>
      <c r="E46" s="177">
        <f>XIRR(E48:E49,B48:B49)</f>
        <v/>
      </c>
    </row>
    <row r="48" ht="14.25" customHeight="1" s="148">
      <c r="B48" s="204">
        <f>N19</f>
        <v/>
      </c>
      <c r="E48" s="199">
        <f>-E6</f>
        <v/>
      </c>
    </row>
    <row r="49" ht="14.25" customHeight="1" s="148">
      <c r="B49" s="204">
        <f>N20</f>
        <v/>
      </c>
      <c r="E49" s="199">
        <f>E42</f>
        <v/>
      </c>
    </row>
    <row r="52" ht="14.25" customHeight="1" s="148">
      <c r="B52" s="205" t="inlineStr">
        <is>
          <t>ACTUAL OUTCOME</t>
        </is>
      </c>
      <c r="C52" s="206" t="n"/>
      <c r="D52" s="206" t="n"/>
      <c r="E52" s="206" t="n"/>
      <c r="F52" s="206" t="n"/>
      <c r="G52" s="206" t="n"/>
      <c r="H52" s="206" t="n"/>
      <c r="I52" s="206" t="n"/>
      <c r="J52" s="206" t="n"/>
    </row>
    <row r="53" ht="14.25" customHeight="1" s="148">
      <c r="B53" s="207" t="inlineStr">
        <is>
          <t>Exit enterprise value, actual ($m)</t>
        </is>
      </c>
      <c r="E53" s="208" t="n">
        <v>310</v>
      </c>
    </row>
    <row r="54" ht="14.25" customHeight="1" s="148">
      <c r="B54" s="207" t="inlineStr">
        <is>
          <t>Debt at exit ($m)</t>
        </is>
      </c>
      <c r="E54" s="208" t="n">
        <v>90</v>
      </c>
    </row>
    <row r="55" ht="14.25" customHeight="1" s="148">
      <c r="B55" s="207" t="inlineStr">
        <is>
          <t>Equity value at exit ($m)</t>
        </is>
      </c>
      <c r="E55" s="165">
        <f>E53-E54</f>
        <v/>
      </c>
    </row>
    <row r="56" ht="14.25" customHeight="1" s="148">
      <c r="B56" s="207" t="inlineStr">
        <is>
          <t>Equity invested (from Sources) ($m)</t>
        </is>
      </c>
      <c r="E56" s="165">
        <f>E6</f>
        <v/>
      </c>
    </row>
    <row r="57" ht="14.25" customHeight="1" s="148">
      <c r="B57" s="207" t="inlineStr">
        <is>
          <t>MoM, actual</t>
        </is>
      </c>
      <c r="E57" s="164">
        <f>E55/E56</f>
        <v/>
      </c>
    </row>
    <row r="58" ht="14.25" customHeight="1" s="148">
      <c r="B58" s="207" t="inlineStr">
        <is>
          <t>IRR, actual</t>
        </is>
      </c>
      <c r="E58" s="209">
        <f>IFERROR(XIRR(E62:E63,B62:B63),"n/m")</f>
        <v/>
      </c>
    </row>
    <row r="59" ht="14.25" customHeight="1" s="148">
      <c r="B59" s="207" t="inlineStr">
        <is>
          <t>MoM variance vs underwritten</t>
        </is>
      </c>
      <c r="E59" s="164">
        <f>E57-E45</f>
        <v/>
      </c>
    </row>
    <row r="60" ht="14.25" customHeight="1" s="148">
      <c r="B60" s="207" t="inlineStr">
        <is>
          <t>IRR variance vs underwritten (pts)</t>
        </is>
      </c>
      <c r="E60" s="165">
        <f>IFERROR((E58-E46)*100,"n/m")</f>
        <v/>
      </c>
    </row>
    <row r="62" ht="14.25" customHeight="1" s="148">
      <c r="B62" s="204">
        <f>N19</f>
        <v/>
      </c>
      <c r="E62" s="147">
        <f>-E6</f>
        <v/>
      </c>
      <c r="G62" s="155" t="inlineStr">
        <is>
          <t>cash flows for XIRR (actual)</t>
        </is>
      </c>
    </row>
    <row r="63" ht="14.25" customHeight="1" s="148">
      <c r="B63" s="204">
        <f>N21</f>
        <v/>
      </c>
      <c r="E63" s="165">
        <f>E55</f>
        <v/>
      </c>
    </row>
    <row r="65" ht="14.25" customHeight="1" s="148">
      <c r="B65" s="163" t="inlineStr">
        <is>
          <t>Actual outcome note:</t>
        </is>
      </c>
    </row>
    <row r="66" ht="14.25" customHeight="1" s="148">
      <c r="B66" s="151" t="inlineStr">
        <is>
          <t>Exit EV $310m (Dorel 6-K; $320.5m 'total value' incl. balance of sale). Exit debt assumed $90m after three years of paydown. Wind Point held 43% (CIBC advisory notice); its total cost basis ($12.5m original + $3m Brunswick + Schwinn equity undisclosed) cannot be fully stated.</t>
        </is>
      </c>
    </row>
    <row r="67" ht="14.25" customHeight="1" s="148"/>
    <row r="68" ht="14.25" customHeight="1" s="148"/>
    <row r="69" ht="14.25" customHeight="1" s="148"/>
    <row r="71" ht="14.25" customHeight="1" s="148">
      <c r="B71" s="163" t="inlineStr">
        <is>
          <t>Deal note:</t>
        </is>
      </c>
    </row>
    <row r="72" ht="14.25" customHeight="1" s="148">
      <c r="B72" s="151" t="inlineStr">
        <is>
          <t>EV went from $146m to $310m in about 30 months. Everything about the equity return depends on undisclosed leverage.</t>
        </is>
      </c>
    </row>
    <row r="73" ht="14.25" customHeight="1" s="148"/>
    <row r="74" ht="14.25" customHeight="1" s="148"/>
    <row r="75" ht="14.25" customHeight="1" s="148"/>
    <row r="77" ht="14.25" customHeight="1" s="148">
      <c r="B77" s="155" t="inlineStr">
        <is>
          <t>Classification: Sponsor platform build and exit  |  Status: Realised Feb-2004</t>
        </is>
      </c>
    </row>
  </sheetData>
  <mergeCells count="5">
    <mergeCell ref="B4:E4"/>
    <mergeCell ref="G4:J4"/>
    <mergeCell ref="B66:J69"/>
    <mergeCell ref="B72:J75"/>
    <mergeCell ref="B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44546A"/>
    <outlinePr summaryBelow="1" summaryRight="1"/>
    <pageSetUpPr fitToPage="0"/>
  </sheetPr>
  <dimension ref="B2:P77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.45" customWidth="1" style="147" min="2" max="2"/>
    <col width="10.45" customWidth="1" style="147" min="6" max="6"/>
    <col width="30" customWidth="1" style="147" min="12" max="12"/>
    <col width="3" customWidth="1" style="147" min="13" max="13"/>
    <col width="14" customWidth="1" style="147" min="14" max="14"/>
    <col width="6" customWidth="1" style="147" min="15" max="15"/>
    <col width="70" customWidth="1" style="147" min="16" max="16"/>
  </cols>
  <sheetData>
    <row r="2" ht="17.35" customHeight="1" s="148">
      <c r="B2" s="173" t="inlineStr">
        <is>
          <t>Pegasus Capital / Cannondale (2003-08) — Paper LBO</t>
        </is>
      </c>
    </row>
    <row r="4" ht="14.25" customHeight="1" s="148">
      <c r="B4" s="174" t="inlineStr">
        <is>
          <t>Sources</t>
        </is>
      </c>
      <c r="G4" s="174" t="inlineStr">
        <is>
          <t>Uses</t>
        </is>
      </c>
      <c r="L4" s="175" t="inlineStr">
        <is>
          <t>INPUTS</t>
        </is>
      </c>
      <c r="N4" s="175" t="inlineStr">
        <is>
          <t>Value</t>
        </is>
      </c>
      <c r="O4" s="175" t="inlineStr">
        <is>
          <t>Tag</t>
        </is>
      </c>
      <c r="P4" s="175" t="inlineStr">
        <is>
          <t>Source  (F = filed / rating agency, P = press, A = assumption; blue = assumption)</t>
        </is>
      </c>
    </row>
    <row r="5" ht="14.25" customHeight="1" s="148">
      <c r="B5" s="147" t="inlineStr">
        <is>
          <t>Debt</t>
        </is>
      </c>
      <c r="E5" s="176">
        <f>E12</f>
        <v/>
      </c>
      <c r="F5" s="177" t="n"/>
      <c r="G5" s="147" t="inlineStr">
        <is>
          <t>Purchase Price</t>
        </is>
      </c>
      <c r="J5" s="176">
        <f>J12</f>
        <v/>
      </c>
      <c r="L5" s="178" t="inlineStr">
        <is>
          <t>Entry enterprise value ($m)</t>
        </is>
      </c>
      <c r="N5" s="179" t="n">
        <v>58</v>
      </c>
      <c r="O5" s="180" t="inlineStr">
        <is>
          <t>P</t>
        </is>
      </c>
      <c r="P5" s="181" t="inlineStr">
        <is>
          <t>Bicycle assets bought for ~$55m at the 20 Mar 2003 auction; '~$58m' per Bicycle Retailer</t>
        </is>
      </c>
    </row>
    <row r="6" ht="14.25" customHeight="1" s="148">
      <c r="B6" s="147" t="inlineStr">
        <is>
          <t>Equity (plug)</t>
        </is>
      </c>
      <c r="E6" s="176">
        <f>E7-E5</f>
        <v/>
      </c>
      <c r="L6" s="178" t="inlineStr">
        <is>
          <t>Entry EBITDA, LTM ($m)</t>
        </is>
      </c>
      <c r="N6" s="190" t="n">
        <v>8</v>
      </c>
      <c r="O6" s="180" t="inlineStr">
        <is>
          <t>A</t>
        </is>
      </c>
      <c r="P6" s="181" t="inlineStr">
        <is>
          <t>Assumption: post-emergence ~5.7% margin (FY2002 operating loss $(12.2)m)</t>
        </is>
      </c>
    </row>
    <row r="7" ht="14.25" customHeight="1" s="148">
      <c r="B7" s="182" t="inlineStr">
        <is>
          <t>Total Sources</t>
        </is>
      </c>
      <c r="C7" s="182" t="n"/>
      <c r="D7" s="182" t="n"/>
      <c r="E7" s="183">
        <f>J7</f>
        <v/>
      </c>
      <c r="G7" s="182" t="inlineStr">
        <is>
          <t>Total Uses</t>
        </is>
      </c>
      <c r="H7" s="182" t="n"/>
      <c r="I7" s="182" t="n"/>
      <c r="J7" s="183">
        <f>J5</f>
        <v/>
      </c>
      <c r="L7" s="178" t="inlineStr">
        <is>
          <t>Entry multiple (x)</t>
        </is>
      </c>
      <c r="N7" s="184">
        <f>N5/N6</f>
        <v/>
      </c>
      <c r="O7" s="180" t="inlineStr">
        <is>
          <t>calc</t>
        </is>
      </c>
      <c r="P7" s="181" t="inlineStr">
        <is>
          <t>Derived</t>
        </is>
      </c>
    </row>
    <row r="8" ht="14.25" customHeight="1" s="148">
      <c r="L8" s="178" t="inlineStr">
        <is>
          <t>Debt raised ($m)</t>
        </is>
      </c>
      <c r="N8" s="190" t="n">
        <v>30</v>
      </c>
      <c r="O8" s="180" t="inlineStr">
        <is>
          <t>A</t>
        </is>
      </c>
      <c r="P8" s="181" t="inlineStr">
        <is>
          <t>Assumption: CIT provided DIP and exit financing; quantum undisclosed</t>
        </is>
      </c>
    </row>
    <row r="9" ht="14.25" customHeight="1" s="148">
      <c r="B9" s="185" t="inlineStr">
        <is>
          <t>Build to Debt</t>
        </is>
      </c>
      <c r="G9" s="185" t="inlineStr">
        <is>
          <t>Build to Purchase Price</t>
        </is>
      </c>
      <c r="L9" s="178" t="inlineStr">
        <is>
          <t>Leverage (x EBITDA)</t>
        </is>
      </c>
      <c r="N9" s="184">
        <f>N8/N6</f>
        <v/>
      </c>
      <c r="O9" s="180" t="inlineStr">
        <is>
          <t>calc</t>
        </is>
      </c>
      <c r="P9" s="181" t="inlineStr">
        <is>
          <t>Derived</t>
        </is>
      </c>
    </row>
    <row r="10" ht="14.25" customHeight="1" s="148">
      <c r="B10" s="147" t="inlineStr">
        <is>
          <t>2003 EBITDA (LTM)</t>
        </is>
      </c>
      <c r="E10" s="176">
        <f>E18</f>
        <v/>
      </c>
      <c r="G10" s="147" t="inlineStr">
        <is>
          <t>2003 EBITDA (LTM)</t>
        </is>
      </c>
      <c r="J10" s="176">
        <f>E18</f>
        <v/>
      </c>
      <c r="L10" s="178" t="inlineStr">
        <is>
          <t>Blended cash interest rate</t>
        </is>
      </c>
      <c r="N10" s="187" t="n">
        <v>0.09</v>
      </c>
      <c r="O10" s="180" t="inlineStr">
        <is>
          <t>A</t>
        </is>
      </c>
      <c r="P10" s="181" t="inlineStr">
        <is>
          <t>Assumption</t>
        </is>
      </c>
    </row>
    <row r="11" ht="14.25" customHeight="1" s="148">
      <c r="B11" s="147" t="inlineStr">
        <is>
          <t>(x) Leverage</t>
        </is>
      </c>
      <c r="E11" s="164">
        <f>N9</f>
        <v/>
      </c>
      <c r="G11" s="147" t="inlineStr">
        <is>
          <t>(x) Multiple of 2023 EBITDA</t>
        </is>
      </c>
      <c r="J11" s="164">
        <f>N7</f>
        <v/>
      </c>
      <c r="L11" s="178" t="inlineStr">
        <is>
          <t>Tax rate</t>
        </is>
      </c>
      <c r="N11" s="187" t="n">
        <v>0.38</v>
      </c>
      <c r="O11" s="180" t="inlineStr">
        <is>
          <t>A</t>
        </is>
      </c>
      <c r="P11" s="181" t="inlineStr">
        <is>
          <t>Assumption</t>
        </is>
      </c>
    </row>
    <row r="12" ht="22.35" customHeight="1" s="148">
      <c r="B12" s="188" t="inlineStr">
        <is>
          <t>Debt</t>
        </is>
      </c>
      <c r="C12" s="188" t="n"/>
      <c r="D12" s="188" t="n"/>
      <c r="E12" s="189">
        <f>E10*E11</f>
        <v/>
      </c>
      <c r="G12" s="188" t="inlineStr">
        <is>
          <t>Purchase Price</t>
        </is>
      </c>
      <c r="H12" s="188" t="n"/>
      <c r="I12" s="188" t="n"/>
      <c r="J12" s="189">
        <f>J10*J11</f>
        <v/>
      </c>
      <c r="L12" s="178" t="inlineStr">
        <is>
          <t>Base-year revenue ($m)</t>
        </is>
      </c>
      <c r="N12" s="190" t="n">
        <v>140</v>
      </c>
      <c r="O12" s="180" t="inlineStr">
        <is>
          <t>A</t>
        </is>
      </c>
      <c r="P12" s="181" t="inlineStr">
        <is>
          <t>Assumption: FY2002 sales $156.7m (last 10-K) less the retained motorsports line and the bankruptcy year</t>
        </is>
      </c>
    </row>
    <row r="13" ht="14.25" customHeight="1" s="148">
      <c r="L13" s="178" t="inlineStr">
        <is>
          <t>Incremental revenue p.a. ($m)</t>
        </is>
      </c>
      <c r="N13" s="179" t="n">
        <v>12</v>
      </c>
      <c r="O13" s="180" t="inlineStr">
        <is>
          <t>F</t>
        </is>
      </c>
      <c r="P13" s="181" t="inlineStr">
        <is>
          <t>Cannondale + Sugoi ~$200m sales in 2007 (Dorel 6-K)</t>
        </is>
      </c>
    </row>
    <row r="14" ht="14.25" customHeight="1" s="148">
      <c r="B14" s="191" t="inlineStr">
        <is>
          <t>Simple P&amp;L</t>
        </is>
      </c>
      <c r="C14" s="192" t="n"/>
      <c r="D14" s="192" t="n"/>
      <c r="E14" s="174" t="n">
        <v>2003</v>
      </c>
      <c r="F14" s="174">
        <f>E14+1</f>
        <v/>
      </c>
      <c r="G14" s="174">
        <f>F14+1</f>
        <v/>
      </c>
      <c r="H14" s="174">
        <f>G14+1</f>
        <v/>
      </c>
      <c r="I14" s="174">
        <f>H14+1</f>
        <v/>
      </c>
      <c r="J14" s="174">
        <f>I14+1</f>
        <v/>
      </c>
      <c r="L14" s="178" t="inlineStr">
        <is>
          <t>EBITDA margin, base year</t>
        </is>
      </c>
      <c r="N14" s="186">
        <f>N6/N12</f>
        <v/>
      </c>
      <c r="O14" s="180" t="inlineStr">
        <is>
          <t>calc</t>
        </is>
      </c>
      <c r="P14" s="181" t="inlineStr">
        <is>
          <t>Derived</t>
        </is>
      </c>
    </row>
    <row r="15" ht="14.25" customHeight="1" s="148">
      <c r="B15" s="147" t="inlineStr">
        <is>
          <t>Revenue</t>
        </is>
      </c>
      <c r="E15" s="176">
        <f>N12</f>
        <v/>
      </c>
      <c r="F15" s="176">
        <f>E15+F16</f>
        <v/>
      </c>
      <c r="G15" s="176">
        <f>F15+G16</f>
        <v/>
      </c>
      <c r="H15" s="176">
        <f>G15+H16</f>
        <v/>
      </c>
      <c r="I15" s="176">
        <f>H15+I16</f>
        <v/>
      </c>
      <c r="J15" s="176">
        <f>I15+J16</f>
        <v/>
      </c>
      <c r="L15" s="178" t="inlineStr">
        <is>
          <t>D&amp;A p.a. ($m)</t>
        </is>
      </c>
      <c r="N15" s="190" t="n">
        <v>4</v>
      </c>
      <c r="O15" s="180" t="inlineStr">
        <is>
          <t>A</t>
        </is>
      </c>
      <c r="P15" s="181" t="inlineStr">
        <is>
          <t>Assumption</t>
        </is>
      </c>
    </row>
    <row r="16" ht="14.25" customHeight="1" s="148">
      <c r="B16" s="193" t="inlineStr">
        <is>
          <t>$ Incremental Revenue</t>
        </is>
      </c>
      <c r="F16" s="194">
        <f>N13</f>
        <v/>
      </c>
      <c r="G16" s="194">
        <f>F16</f>
        <v/>
      </c>
      <c r="H16" s="194">
        <f>G16</f>
        <v/>
      </c>
      <c r="I16" s="194">
        <f>H16</f>
        <v/>
      </c>
      <c r="J16" s="194">
        <f>I16</f>
        <v/>
      </c>
      <c r="L16" s="178" t="inlineStr">
        <is>
          <t>Capex p.a. ($m)</t>
        </is>
      </c>
      <c r="N16" s="190" t="n">
        <v>4</v>
      </c>
      <c r="O16" s="180" t="inlineStr">
        <is>
          <t>A</t>
        </is>
      </c>
      <c r="P16" s="181" t="inlineStr">
        <is>
          <t>Assumption</t>
        </is>
      </c>
    </row>
    <row r="17" ht="14.25" customHeight="1" s="148">
      <c r="L17" s="178" t="inlineStr">
        <is>
          <t>Change in NWC p.a. ($m, negative = investment)</t>
        </is>
      </c>
      <c r="N17" s="190" t="n">
        <v>-2</v>
      </c>
      <c r="O17" s="180" t="inlineStr">
        <is>
          <t>A</t>
        </is>
      </c>
      <c r="P17" s="181" t="inlineStr">
        <is>
          <t>Assumption</t>
        </is>
      </c>
    </row>
    <row r="18" ht="14.25" customHeight="1" s="148">
      <c r="B18" s="147" t="inlineStr">
        <is>
          <t>EBITDA</t>
        </is>
      </c>
      <c r="E18" s="176">
        <f>E19*E15</f>
        <v/>
      </c>
      <c r="F18" s="176">
        <f>F19*F15</f>
        <v/>
      </c>
      <c r="G18" s="176">
        <f>G19*G15</f>
        <v/>
      </c>
      <c r="H18" s="176">
        <f>H19*H15</f>
        <v/>
      </c>
      <c r="I18" s="176">
        <f>I19*I15</f>
        <v/>
      </c>
      <c r="J18" s="176">
        <f>J19*J15</f>
        <v/>
      </c>
      <c r="L18" s="178" t="inlineStr">
        <is>
          <t>Exit multiple (x)</t>
        </is>
      </c>
      <c r="N18" s="195" t="n">
        <v>9.75</v>
      </c>
      <c r="O18" s="180" t="inlineStr">
        <is>
          <t>A</t>
        </is>
      </c>
      <c r="P18" s="181" t="inlineStr">
        <is>
          <t>$195m midpoint / ~$20m 2007 EBITDA (assumption; Dorel disclosed sales only)</t>
        </is>
      </c>
    </row>
    <row r="19" ht="14.25" customHeight="1" s="148">
      <c r="B19" s="193" t="inlineStr">
        <is>
          <t>% margin</t>
        </is>
      </c>
      <c r="E19" s="210">
        <f>N14</f>
        <v/>
      </c>
      <c r="F19" s="211" t="n">
        <v>0.07000000000000001</v>
      </c>
      <c r="G19" s="211" t="n">
        <v>0.08</v>
      </c>
      <c r="H19" s="211" t="n">
        <v>0.09</v>
      </c>
      <c r="I19" s="211" t="n">
        <v>0.1</v>
      </c>
      <c r="J19" s="211" t="n">
        <v>0.1</v>
      </c>
      <c r="L19" s="178" t="inlineStr">
        <is>
          <t>Entry date</t>
        </is>
      </c>
      <c r="N19" s="197" t="n">
        <v>37700</v>
      </c>
      <c r="O19" s="180" t="inlineStr">
        <is>
          <t>F</t>
        </is>
      </c>
      <c r="P19" s="181" t="inlineStr">
        <is>
          <t>Closing date per filings</t>
        </is>
      </c>
    </row>
    <row r="20" ht="14.25" customHeight="1" s="148">
      <c r="L20" s="178" t="inlineStr">
        <is>
          <t>Underwritten exit date (5-year hold)</t>
        </is>
      </c>
      <c r="N20" s="198" t="n">
        <v>39527</v>
      </c>
      <c r="O20" s="180" t="inlineStr">
        <is>
          <t>A</t>
        </is>
      </c>
      <c r="P20" s="181" t="inlineStr">
        <is>
          <t>Template convention: five projection years</t>
        </is>
      </c>
    </row>
    <row r="21" ht="14.25" customHeight="1" s="148">
      <c r="B21" s="185" t="inlineStr">
        <is>
          <t>LFCF Build</t>
        </is>
      </c>
      <c r="L21" s="178" t="inlineStr">
        <is>
          <t>Actual exit / valuation date</t>
        </is>
      </c>
      <c r="N21" s="197" t="n">
        <v>39482</v>
      </c>
      <c r="O21" s="180" t="inlineStr">
        <is>
          <t>F</t>
        </is>
      </c>
      <c r="P21" s="181" t="inlineStr">
        <is>
          <t>Realised exit date per filings</t>
        </is>
      </c>
    </row>
    <row r="22" ht="14.25" customHeight="1" s="148">
      <c r="B22" s="147" t="inlineStr">
        <is>
          <t>EBITDA</t>
        </is>
      </c>
      <c r="E22" s="199" t="n"/>
      <c r="F22" s="199">
        <f>F18</f>
        <v/>
      </c>
      <c r="G22" s="199">
        <f>G18</f>
        <v/>
      </c>
      <c r="H22" s="199">
        <f>H18</f>
        <v/>
      </c>
      <c r="I22" s="199">
        <f>I18</f>
        <v/>
      </c>
      <c r="J22" s="199">
        <f>J18</f>
        <v/>
      </c>
    </row>
    <row r="23" ht="14.25" customHeight="1" s="148">
      <c r="B23" s="147" t="inlineStr">
        <is>
          <t>(-) D&amp;A</t>
        </is>
      </c>
      <c r="E23" s="199" t="n"/>
      <c r="F23" s="199">
        <f>-$N$15</f>
        <v/>
      </c>
      <c r="G23" s="199">
        <f>-$N$15</f>
        <v/>
      </c>
      <c r="H23" s="199">
        <f>-$N$15</f>
        <v/>
      </c>
      <c r="I23" s="199">
        <f>-$N$15</f>
        <v/>
      </c>
      <c r="J23" s="199">
        <f>-$N$15</f>
        <v/>
      </c>
    </row>
    <row r="24" ht="14.25" customHeight="1" s="148">
      <c r="B24" s="188" t="inlineStr">
        <is>
          <t>EBIT</t>
        </is>
      </c>
      <c r="C24" s="188" t="n"/>
      <c r="D24" s="188" t="n"/>
      <c r="E24" s="200" t="n"/>
      <c r="F24" s="200">
        <f>F22+F23</f>
        <v/>
      </c>
      <c r="G24" s="200">
        <f>G22+G23</f>
        <v/>
      </c>
      <c r="H24" s="200">
        <f>H22+H23</f>
        <v/>
      </c>
      <c r="I24" s="200">
        <f>I22+I23</f>
        <v/>
      </c>
      <c r="J24" s="200">
        <f>J22+J23</f>
        <v/>
      </c>
    </row>
    <row r="25" ht="14.25" customHeight="1" s="148">
      <c r="B25" s="147" t="inlineStr">
        <is>
          <t>(-) Cash Interest</t>
        </is>
      </c>
      <c r="D25" s="196">
        <f>N10</f>
        <v/>
      </c>
      <c r="E25" s="199" t="n"/>
      <c r="F25" s="199">
        <f>$E$12*-$D$25</f>
        <v/>
      </c>
      <c r="G25" s="199">
        <f>$E$12*-$D$25</f>
        <v/>
      </c>
      <c r="H25" s="199">
        <f>$E$12*-$D$25</f>
        <v/>
      </c>
      <c r="I25" s="199">
        <f>$E$12*-$D$25</f>
        <v/>
      </c>
      <c r="J25" s="199">
        <f>$E$12*-$D$25</f>
        <v/>
      </c>
    </row>
    <row r="26" ht="14.25" customHeight="1" s="148">
      <c r="B26" s="188" t="inlineStr">
        <is>
          <t>EBT</t>
        </is>
      </c>
      <c r="C26" s="188" t="n"/>
      <c r="D26" s="188" t="n"/>
      <c r="E26" s="200" t="n"/>
      <c r="F26" s="200">
        <f>F24+F25</f>
        <v/>
      </c>
      <c r="G26" s="200">
        <f>G24+G25</f>
        <v/>
      </c>
      <c r="H26" s="200">
        <f>H24+H25</f>
        <v/>
      </c>
      <c r="I26" s="200">
        <f>I24+I25</f>
        <v/>
      </c>
      <c r="J26" s="200">
        <f>J24+J25</f>
        <v/>
      </c>
    </row>
    <row r="27" ht="14.25" customHeight="1" s="148">
      <c r="B27" s="147" t="inlineStr">
        <is>
          <t>(-) Taxes</t>
        </is>
      </c>
      <c r="D27" s="196">
        <f>N11</f>
        <v/>
      </c>
      <c r="E27" s="199" t="n"/>
      <c r="F27" s="199">
        <f>F26*-$D27</f>
        <v/>
      </c>
      <c r="G27" s="199">
        <f>G26*-$D27</f>
        <v/>
      </c>
      <c r="H27" s="199">
        <f>H26*-$D27</f>
        <v/>
      </c>
      <c r="I27" s="199">
        <f>I26*-$D27</f>
        <v/>
      </c>
      <c r="J27" s="199">
        <f>J26*-$D27</f>
        <v/>
      </c>
    </row>
    <row r="28" ht="14.25" customHeight="1" s="148">
      <c r="B28" s="188" t="inlineStr">
        <is>
          <t>Net Income</t>
        </is>
      </c>
      <c r="C28" s="188" t="n"/>
      <c r="D28" s="188" t="n"/>
      <c r="E28" s="200" t="n"/>
      <c r="F28" s="200">
        <f>F26+F27</f>
        <v/>
      </c>
      <c r="G28" s="200">
        <f>G26+G27</f>
        <v/>
      </c>
      <c r="H28" s="200">
        <f>H26+H27</f>
        <v/>
      </c>
      <c r="I28" s="200">
        <f>I26+I27</f>
        <v/>
      </c>
      <c r="J28" s="200">
        <f>J26+J27</f>
        <v/>
      </c>
    </row>
    <row r="29" ht="14.25" customHeight="1" s="148">
      <c r="B29" s="147" t="inlineStr">
        <is>
          <t>(+) D&amp;A</t>
        </is>
      </c>
      <c r="E29" s="199" t="n"/>
      <c r="F29" s="199">
        <f>-F23</f>
        <v/>
      </c>
      <c r="G29" s="199">
        <f>-G23</f>
        <v/>
      </c>
      <c r="H29" s="199">
        <f>-H23</f>
        <v/>
      </c>
      <c r="I29" s="199">
        <f>-I23</f>
        <v/>
      </c>
      <c r="J29" s="199">
        <f>-J23</f>
        <v/>
      </c>
    </row>
    <row r="30" ht="14.25" customHeight="1" s="148">
      <c r="B30" s="147" t="inlineStr">
        <is>
          <t>(-) Capex</t>
        </is>
      </c>
      <c r="E30" s="199" t="n"/>
      <c r="F30" s="199">
        <f>-$N$16</f>
        <v/>
      </c>
      <c r="G30" s="199">
        <f>-$N$16</f>
        <v/>
      </c>
      <c r="H30" s="199">
        <f>-$N$16</f>
        <v/>
      </c>
      <c r="I30" s="199">
        <f>-$N$16</f>
        <v/>
      </c>
      <c r="J30" s="199">
        <f>-$N$16</f>
        <v/>
      </c>
    </row>
    <row r="31" ht="14.25" customHeight="1" s="148">
      <c r="B31" s="147" t="inlineStr">
        <is>
          <t>(-) Change in NWC</t>
        </is>
      </c>
      <c r="E31" s="199" t="n"/>
      <c r="F31" s="199">
        <f>$N$17</f>
        <v/>
      </c>
      <c r="G31" s="199">
        <f>$N$17</f>
        <v/>
      </c>
      <c r="H31" s="199">
        <f>$N$17</f>
        <v/>
      </c>
      <c r="I31" s="199">
        <f>$N$17</f>
        <v/>
      </c>
      <c r="J31" s="199">
        <f>$N$17</f>
        <v/>
      </c>
    </row>
    <row r="32" ht="14.25" customHeight="1" s="148">
      <c r="B32" s="188" t="inlineStr">
        <is>
          <t>Levered FCF</t>
        </is>
      </c>
      <c r="C32" s="188" t="n"/>
      <c r="D32" s="188" t="n"/>
      <c r="E32" s="200" t="n"/>
      <c r="F32" s="200">
        <f>SUM(F28:F31)</f>
        <v/>
      </c>
      <c r="G32" s="200">
        <f>SUM(G28:G31)</f>
        <v/>
      </c>
      <c r="H32" s="200">
        <f>SUM(H28:H31)</f>
        <v/>
      </c>
      <c r="I32" s="200">
        <f>SUM(I28:I31)</f>
        <v/>
      </c>
      <c r="J32" s="200">
        <f>SUM(J28:J31)</f>
        <v/>
      </c>
    </row>
    <row r="33" ht="14.25" customHeight="1" s="148">
      <c r="B33" s="193" t="inlineStr">
        <is>
          <t>Cumulative LFCF</t>
        </is>
      </c>
      <c r="E33" s="199" t="n"/>
      <c r="F33" s="201">
        <f>SUM($E32:F32)</f>
        <v/>
      </c>
      <c r="G33" s="201">
        <f>SUM($E32:G32)</f>
        <v/>
      </c>
      <c r="H33" s="201">
        <f>SUM($E32:H32)</f>
        <v/>
      </c>
      <c r="I33" s="201">
        <f>SUM($E32:I32)</f>
        <v/>
      </c>
      <c r="J33" s="201">
        <f>SUM($E32:J32)</f>
        <v/>
      </c>
    </row>
    <row r="35" ht="14.25" customHeight="1" s="148">
      <c r="B35" s="191" t="inlineStr">
        <is>
          <t>Returns — UNDERWRITTEN CASE (template mechanics: interest on opening debt, all LFCF accumulates as cash)</t>
        </is>
      </c>
      <c r="C35" s="192" t="n"/>
      <c r="D35" s="192" t="n"/>
      <c r="E35" s="174" t="n"/>
      <c r="F35" s="174" t="n"/>
      <c r="G35" s="174" t="n"/>
      <c r="H35" s="174" t="n"/>
      <c r="I35" s="174" t="n"/>
      <c r="J35" s="174" t="n"/>
    </row>
    <row r="37" ht="14.25" customHeight="1" s="148">
      <c r="B37" s="147" t="inlineStr">
        <is>
          <t>Exit EBITDA (2008)</t>
        </is>
      </c>
      <c r="E37" s="199">
        <f>J18</f>
        <v/>
      </c>
    </row>
    <row r="38" ht="14.25" customHeight="1" s="148">
      <c r="B38" s="147" t="inlineStr">
        <is>
          <t>(x) Exit Multiple</t>
        </is>
      </c>
      <c r="E38" s="164">
        <f>N18</f>
        <v/>
      </c>
    </row>
    <row r="39" ht="14.25" customHeight="1" s="148">
      <c r="B39" s="202" t="inlineStr">
        <is>
          <t>Enterprise Value</t>
        </is>
      </c>
      <c r="C39" s="202" t="n"/>
      <c r="D39" s="202" t="n"/>
      <c r="E39" s="203">
        <f>E37*E38</f>
        <v/>
      </c>
    </row>
    <row r="40" ht="14.25" customHeight="1" s="148">
      <c r="B40" s="147" t="inlineStr">
        <is>
          <t>(-) Debt</t>
        </is>
      </c>
      <c r="E40" s="199">
        <f>-E12</f>
        <v/>
      </c>
    </row>
    <row r="41" ht="14.25" customHeight="1" s="148">
      <c r="B41" s="147" t="inlineStr">
        <is>
          <t>(+) Cash</t>
        </is>
      </c>
      <c r="E41" s="199">
        <f>J33</f>
        <v/>
      </c>
    </row>
    <row r="42" ht="14.25" customHeight="1" s="148">
      <c r="B42" s="202" t="inlineStr">
        <is>
          <t>Equity Value at Exit</t>
        </is>
      </c>
      <c r="C42" s="202" t="n"/>
      <c r="D42" s="202" t="n"/>
      <c r="E42" s="203">
        <f>SUM(E39:E41)</f>
        <v/>
      </c>
    </row>
    <row r="43" ht="14.25" customHeight="1" s="148">
      <c r="B43" s="147" t="inlineStr">
        <is>
          <t xml:space="preserve">Initial Equity Investment </t>
        </is>
      </c>
      <c r="E43" s="199">
        <f>E6</f>
        <v/>
      </c>
    </row>
    <row r="45" ht="14.25" customHeight="1" s="148">
      <c r="B45" s="147" t="inlineStr">
        <is>
          <t>MoM</t>
        </is>
      </c>
      <c r="E45" s="164">
        <f>E42/E43</f>
        <v/>
      </c>
    </row>
    <row r="46" ht="14.25" customHeight="1" s="148">
      <c r="B46" s="147" t="inlineStr">
        <is>
          <t>IRR</t>
        </is>
      </c>
      <c r="E46" s="177">
        <f>XIRR(E48:E49,B48:B49)</f>
        <v/>
      </c>
    </row>
    <row r="48" ht="14.25" customHeight="1" s="148">
      <c r="B48" s="204">
        <f>N19</f>
        <v/>
      </c>
      <c r="E48" s="199">
        <f>-E6</f>
        <v/>
      </c>
    </row>
    <row r="49" ht="14.25" customHeight="1" s="148">
      <c r="B49" s="204">
        <f>N20</f>
        <v/>
      </c>
      <c r="E49" s="199">
        <f>E42</f>
        <v/>
      </c>
    </row>
    <row r="52" ht="14.25" customHeight="1" s="148">
      <c r="B52" s="205" t="inlineStr">
        <is>
          <t>ACTUAL OUTCOME</t>
        </is>
      </c>
      <c r="C52" s="206" t="n"/>
      <c r="D52" s="206" t="n"/>
      <c r="E52" s="206" t="n"/>
      <c r="F52" s="206" t="n"/>
      <c r="G52" s="206" t="n"/>
      <c r="H52" s="206" t="n"/>
      <c r="I52" s="206" t="n"/>
      <c r="J52" s="206" t="n"/>
    </row>
    <row r="53" ht="14.25" customHeight="1" s="148">
      <c r="B53" s="207" t="inlineStr">
        <is>
          <t>Exit enterprise value, actual ($m)</t>
        </is>
      </c>
      <c r="E53" s="208" t="n">
        <v>195</v>
      </c>
    </row>
    <row r="54" ht="14.25" customHeight="1" s="148">
      <c r="B54" s="207" t="inlineStr">
        <is>
          <t>Debt at exit ($m)</t>
        </is>
      </c>
      <c r="E54" s="208" t="n">
        <v>30</v>
      </c>
    </row>
    <row r="55" ht="14.25" customHeight="1" s="148">
      <c r="B55" s="207" t="inlineStr">
        <is>
          <t>Equity value at exit ($m)</t>
        </is>
      </c>
      <c r="E55" s="165">
        <f>E53-E54</f>
        <v/>
      </c>
    </row>
    <row r="56" ht="14.25" customHeight="1" s="148">
      <c r="B56" s="207" t="inlineStr">
        <is>
          <t>Equity invested (from Sources) ($m)</t>
        </is>
      </c>
      <c r="E56" s="165">
        <f>E6</f>
        <v/>
      </c>
    </row>
    <row r="57" ht="14.25" customHeight="1" s="148">
      <c r="B57" s="207" t="inlineStr">
        <is>
          <t>MoM, actual</t>
        </is>
      </c>
      <c r="E57" s="164">
        <f>E55/E56</f>
        <v/>
      </c>
    </row>
    <row r="58" ht="14.25" customHeight="1" s="148">
      <c r="B58" s="207" t="inlineStr">
        <is>
          <t>IRR, actual</t>
        </is>
      </c>
      <c r="E58" s="209">
        <f>IFERROR(XIRR(E62:E63,B62:B63),"n/m")</f>
        <v/>
      </c>
    </row>
    <row r="59" ht="14.25" customHeight="1" s="148">
      <c r="B59" s="207" t="inlineStr">
        <is>
          <t>MoM variance vs underwritten</t>
        </is>
      </c>
      <c r="E59" s="164">
        <f>E57-E45</f>
        <v/>
      </c>
    </row>
    <row r="60" ht="14.25" customHeight="1" s="148">
      <c r="B60" s="207" t="inlineStr">
        <is>
          <t>IRR variance vs underwritten (pts)</t>
        </is>
      </c>
      <c r="E60" s="165">
        <f>IFERROR((E58-E46)*100,"n/m")</f>
        <v/>
      </c>
    </row>
    <row r="62" ht="14.25" customHeight="1" s="148">
      <c r="B62" s="204">
        <f>N19</f>
        <v/>
      </c>
      <c r="E62" s="147">
        <f>-E6</f>
        <v/>
      </c>
      <c r="G62" s="155" t="inlineStr">
        <is>
          <t>cash flows for XIRR (actual)</t>
        </is>
      </c>
    </row>
    <row r="63" ht="14.25" customHeight="1" s="148">
      <c r="B63" s="204">
        <f>N21</f>
        <v/>
      </c>
      <c r="E63" s="165">
        <f>E55</f>
        <v/>
      </c>
    </row>
    <row r="65" ht="14.25" customHeight="1" s="148">
      <c r="B65" s="163" t="inlineStr">
        <is>
          <t>Actual outcome note:</t>
        </is>
      </c>
    </row>
    <row r="66" ht="14.25" customHeight="1" s="148">
      <c r="B66" s="151" t="inlineStr">
        <is>
          <t>Exit EV $190-200m, earnings-contingent to 30 Jun 2008 (Dorel 6-K); final price after the earnout is in Dorel's FY2008 SEDAR statements, not retrieved. Exit debt assumed equal to entry.</t>
        </is>
      </c>
    </row>
    <row r="67" ht="14.25" customHeight="1" s="148"/>
    <row r="68" ht="14.25" customHeight="1" s="148"/>
    <row r="69" ht="14.25" customHeight="1" s="148"/>
    <row r="71" ht="14.25" customHeight="1" s="148">
      <c r="B71" s="163" t="inlineStr">
        <is>
          <t>Deal note:</t>
        </is>
      </c>
    </row>
    <row r="72" ht="14.25" customHeight="1" s="148">
      <c r="B72" s="151" t="inlineStr">
        <is>
          <t>Roughly 3.4x on enterprise value in five years, on a business bought out of Chapter 11 at 0.37x sales.</t>
        </is>
      </c>
    </row>
    <row r="73" ht="14.25" customHeight="1" s="148"/>
    <row r="74" ht="14.25" customHeight="1" s="148"/>
    <row r="75" ht="14.25" customHeight="1" s="148"/>
    <row r="77" ht="14.25" customHeight="1" s="148">
      <c r="B77" s="155" t="inlineStr">
        <is>
          <t>Classification: Distressed 363 purchase and exit  |  Status: Realised Q1-2008</t>
        </is>
      </c>
    </row>
  </sheetData>
  <mergeCells count="5">
    <mergeCell ref="B4:E4"/>
    <mergeCell ref="G4:J4"/>
    <mergeCell ref="B66:J69"/>
    <mergeCell ref="B72:J75"/>
    <mergeCell ref="B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44546A"/>
    <outlinePr summaryBelow="1" summaryRight="1"/>
    <pageSetUpPr fitToPage="0"/>
  </sheetPr>
  <dimension ref="B2:P77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.45" customWidth="1" style="147" min="2" max="2"/>
    <col width="10.45" customWidth="1" style="147" min="6" max="6"/>
    <col width="30" customWidth="1" style="147" min="12" max="12"/>
    <col width="3" customWidth="1" style="147" min="13" max="13"/>
    <col width="14" customWidth="1" style="147" min="14" max="14"/>
    <col width="6" customWidth="1" style="147" min="15" max="15"/>
    <col width="70" customWidth="1" style="147" min="16" max="16"/>
  </cols>
  <sheetData>
    <row r="2" ht="17.35" customHeight="1" s="148">
      <c r="B2" s="173" t="inlineStr">
        <is>
          <t>Cerberus + Koch / Dorel (2021) [TERMINATED] — Paper LBO</t>
        </is>
      </c>
    </row>
    <row r="4" ht="14.25" customHeight="1" s="148">
      <c r="B4" s="174" t="inlineStr">
        <is>
          <t>Sources</t>
        </is>
      </c>
      <c r="G4" s="174" t="inlineStr">
        <is>
          <t>Uses</t>
        </is>
      </c>
      <c r="L4" s="175" t="inlineStr">
        <is>
          <t>INPUTS</t>
        </is>
      </c>
      <c r="N4" s="175" t="inlineStr">
        <is>
          <t>Value</t>
        </is>
      </c>
      <c r="O4" s="175" t="inlineStr">
        <is>
          <t>Tag</t>
        </is>
      </c>
      <c r="P4" s="175" t="inlineStr">
        <is>
          <t>Source  (F = filed / rating agency, P = press, A = assumption; blue = assumption)</t>
        </is>
      </c>
    </row>
    <row r="5" ht="22.35" customHeight="1" s="148">
      <c r="B5" s="147" t="inlineStr">
        <is>
          <t>Debt</t>
        </is>
      </c>
      <c r="E5" s="176">
        <f>E12</f>
        <v/>
      </c>
      <c r="F5" s="177" t="n"/>
      <c r="G5" s="147" t="inlineStr">
        <is>
          <t>Purchase Price</t>
        </is>
      </c>
      <c r="J5" s="176">
        <f>J12</f>
        <v/>
      </c>
      <c r="L5" s="178" t="inlineStr">
        <is>
          <t>Entry enterprise value ($m)</t>
        </is>
      </c>
      <c r="N5" s="179" t="n">
        <v>1012</v>
      </c>
      <c r="O5" s="180" t="inlineStr">
        <is>
          <t>F</t>
        </is>
      </c>
      <c r="P5" s="181" t="inlineStr">
        <is>
          <t>Aggregate purchase price incl. assumed debt and ~$65m fees (Dorel release, 1 Feb 2021); ~8.5x</t>
        </is>
      </c>
    </row>
    <row r="6" ht="22.35" customHeight="1" s="148">
      <c r="B6" s="147" t="inlineStr">
        <is>
          <t>Equity (plug)</t>
        </is>
      </c>
      <c r="E6" s="176">
        <f>E7-E5</f>
        <v/>
      </c>
      <c r="L6" s="178" t="inlineStr">
        <is>
          <t>Entry EBITDA, LTM ($m)</t>
        </is>
      </c>
      <c r="N6" s="179" t="n">
        <v>119.6</v>
      </c>
      <c r="O6" s="180" t="inlineStr">
        <is>
          <t>F</t>
        </is>
      </c>
      <c r="P6" s="181" t="inlineStr">
        <is>
          <t>Buyer's adjusted LTM EBITDA to 30 Sep 2020 (Dorel release, 1 Feb 2021); Letko says it embeds $44.5m of downward adjustments</t>
        </is>
      </c>
    </row>
    <row r="7" ht="14.25" customHeight="1" s="148">
      <c r="B7" s="182" t="inlineStr">
        <is>
          <t>Total Sources</t>
        </is>
      </c>
      <c r="C7" s="182" t="n"/>
      <c r="D7" s="182" t="n"/>
      <c r="E7" s="183">
        <f>J7</f>
        <v/>
      </c>
      <c r="G7" s="182" t="inlineStr">
        <is>
          <t>Total Uses</t>
        </is>
      </c>
      <c r="H7" s="182" t="n"/>
      <c r="I7" s="182" t="n"/>
      <c r="J7" s="183">
        <f>J5</f>
        <v/>
      </c>
      <c r="L7" s="178" t="inlineStr">
        <is>
          <t>Entry multiple (x)</t>
        </is>
      </c>
      <c r="N7" s="184">
        <f>N5/N6</f>
        <v/>
      </c>
      <c r="O7" s="180" t="inlineStr">
        <is>
          <t>calc</t>
        </is>
      </c>
      <c r="P7" s="181" t="inlineStr">
        <is>
          <t>Derived</t>
        </is>
      </c>
    </row>
    <row r="8" ht="14.25" customHeight="1" s="148">
      <c r="L8" s="178" t="inlineStr">
        <is>
          <t>Debt raised ($m)</t>
        </is>
      </c>
      <c r="N8" s="179" t="n">
        <v>500</v>
      </c>
      <c r="O8" s="180" t="inlineStr">
        <is>
          <t>F</t>
        </is>
      </c>
      <c r="P8" s="181" t="inlineStr">
        <is>
          <t>Funded debt from third-party lenders (Dorel release, 1 Feb 2021)</t>
        </is>
      </c>
    </row>
    <row r="9" ht="14.25" customHeight="1" s="148">
      <c r="B9" s="185" t="inlineStr">
        <is>
          <t>Build to Debt</t>
        </is>
      </c>
      <c r="G9" s="185" t="inlineStr">
        <is>
          <t>Build to Purchase Price</t>
        </is>
      </c>
      <c r="L9" s="178" t="inlineStr">
        <is>
          <t>Leverage (x EBITDA)</t>
        </is>
      </c>
      <c r="N9" s="184">
        <f>N8/N6</f>
        <v/>
      </c>
      <c r="O9" s="180" t="inlineStr">
        <is>
          <t>calc</t>
        </is>
      </c>
      <c r="P9" s="181" t="inlineStr">
        <is>
          <t>Derived</t>
        </is>
      </c>
    </row>
    <row r="10" ht="14.25" customHeight="1" s="148">
      <c r="B10" s="147" t="inlineStr">
        <is>
          <t>2020 EBITDA (LTM)</t>
        </is>
      </c>
      <c r="E10" s="176">
        <f>E18</f>
        <v/>
      </c>
      <c r="G10" s="147" t="inlineStr">
        <is>
          <t>2020 EBITDA (LTM)</t>
        </is>
      </c>
      <c r="J10" s="176">
        <f>E18</f>
        <v/>
      </c>
      <c r="L10" s="178" t="inlineStr">
        <is>
          <t>Blended cash interest rate</t>
        </is>
      </c>
      <c r="N10" s="187" t="n">
        <v>0.07000000000000001</v>
      </c>
      <c r="O10" s="180" t="inlineStr">
        <is>
          <t>A</t>
        </is>
      </c>
      <c r="P10" s="181" t="inlineStr">
        <is>
          <t>Assumption</t>
        </is>
      </c>
    </row>
    <row r="11" ht="14.25" customHeight="1" s="148">
      <c r="B11" s="147" t="inlineStr">
        <is>
          <t>(x) Leverage</t>
        </is>
      </c>
      <c r="E11" s="164">
        <f>N9</f>
        <v/>
      </c>
      <c r="G11" s="147" t="inlineStr">
        <is>
          <t>(x) Multiple of 2023 EBITDA</t>
        </is>
      </c>
      <c r="J11" s="164">
        <f>N7</f>
        <v/>
      </c>
      <c r="L11" s="178" t="inlineStr">
        <is>
          <t>Tax rate</t>
        </is>
      </c>
      <c r="N11" s="187" t="n">
        <v>0.26</v>
      </c>
      <c r="O11" s="180" t="inlineStr">
        <is>
          <t>A</t>
        </is>
      </c>
      <c r="P11" s="181" t="inlineStr">
        <is>
          <t>Canadian blended, assumption</t>
        </is>
      </c>
    </row>
    <row r="12" ht="14.25" customHeight="1" s="148">
      <c r="B12" s="188" t="inlineStr">
        <is>
          <t>Debt</t>
        </is>
      </c>
      <c r="C12" s="188" t="n"/>
      <c r="D12" s="188" t="n"/>
      <c r="E12" s="189">
        <f>E10*E11</f>
        <v/>
      </c>
      <c r="G12" s="188" t="inlineStr">
        <is>
          <t>Purchase Price</t>
        </is>
      </c>
      <c r="H12" s="188" t="n"/>
      <c r="I12" s="188" t="n"/>
      <c r="J12" s="189">
        <f>J10*J11</f>
        <v/>
      </c>
      <c r="L12" s="178" t="inlineStr">
        <is>
          <t>Base-year revenue ($m)</t>
        </is>
      </c>
      <c r="N12" s="179" t="n">
        <v>2762.5</v>
      </c>
      <c r="O12" s="180" t="inlineStr">
        <is>
          <t>F</t>
        </is>
      </c>
      <c r="P12" s="181" t="inlineStr">
        <is>
          <t>Dorel FY2020 revenue (Q4-2020 results)</t>
        </is>
      </c>
    </row>
    <row r="13" ht="14.25" customHeight="1" s="148">
      <c r="L13" s="178" t="inlineStr">
        <is>
          <t>Incremental revenue p.a. ($m)</t>
        </is>
      </c>
      <c r="N13" s="190" t="n">
        <v>80</v>
      </c>
      <c r="O13" s="180" t="inlineStr">
        <is>
          <t>A</t>
        </is>
      </c>
      <c r="P13" s="181" t="inlineStr">
        <is>
          <t>~3% p.a., assumption</t>
        </is>
      </c>
    </row>
    <row r="14" ht="14.25" customHeight="1" s="148">
      <c r="B14" s="191" t="inlineStr">
        <is>
          <t>Simple P&amp;L</t>
        </is>
      </c>
      <c r="C14" s="192" t="n"/>
      <c r="D14" s="192" t="n"/>
      <c r="E14" s="174" t="n">
        <v>2020</v>
      </c>
      <c r="F14" s="174">
        <f>E14+1</f>
        <v/>
      </c>
      <c r="G14" s="174">
        <f>F14+1</f>
        <v/>
      </c>
      <c r="H14" s="174">
        <f>G14+1</f>
        <v/>
      </c>
      <c r="I14" s="174">
        <f>H14+1</f>
        <v/>
      </c>
      <c r="J14" s="174">
        <f>I14+1</f>
        <v/>
      </c>
      <c r="L14" s="178" t="inlineStr">
        <is>
          <t>EBITDA margin, base year</t>
        </is>
      </c>
      <c r="N14" s="186">
        <f>N6/N12</f>
        <v/>
      </c>
      <c r="O14" s="180" t="inlineStr">
        <is>
          <t>calc</t>
        </is>
      </c>
      <c r="P14" s="181" t="inlineStr">
        <is>
          <t>Derived</t>
        </is>
      </c>
    </row>
    <row r="15" ht="14.25" customHeight="1" s="148">
      <c r="B15" s="147" t="inlineStr">
        <is>
          <t>Revenue</t>
        </is>
      </c>
      <c r="E15" s="176">
        <f>N12</f>
        <v/>
      </c>
      <c r="F15" s="176">
        <f>E15+F16</f>
        <v/>
      </c>
      <c r="G15" s="176">
        <f>F15+G16</f>
        <v/>
      </c>
      <c r="H15" s="176">
        <f>G15+H16</f>
        <v/>
      </c>
      <c r="I15" s="176">
        <f>H15+I16</f>
        <v/>
      </c>
      <c r="J15" s="176">
        <f>I15+J16</f>
        <v/>
      </c>
      <c r="L15" s="178" t="inlineStr">
        <is>
          <t>D&amp;A p.a. ($m)</t>
        </is>
      </c>
      <c r="N15" s="179" t="n">
        <v>98.09999999999999</v>
      </c>
      <c r="O15" s="180" t="inlineStr">
        <is>
          <t>F</t>
        </is>
      </c>
      <c r="P15" s="181" t="inlineStr">
        <is>
          <t>FY2020 consolidated D&amp;A (cash-flow statement)</t>
        </is>
      </c>
    </row>
    <row r="16" ht="14.25" customHeight="1" s="148">
      <c r="B16" s="193" t="inlineStr">
        <is>
          <t>$ Incremental Revenue</t>
        </is>
      </c>
      <c r="F16" s="194">
        <f>N13</f>
        <v/>
      </c>
      <c r="G16" s="194">
        <f>F16</f>
        <v/>
      </c>
      <c r="H16" s="194">
        <f>G16</f>
        <v/>
      </c>
      <c r="I16" s="194">
        <f>H16</f>
        <v/>
      </c>
      <c r="J16" s="194">
        <f>I16</f>
        <v/>
      </c>
      <c r="L16" s="178" t="inlineStr">
        <is>
          <t>Capex p.a. ($m)</t>
        </is>
      </c>
      <c r="N16" s="190" t="n">
        <v>40</v>
      </c>
      <c r="O16" s="180" t="inlineStr">
        <is>
          <t>A</t>
        </is>
      </c>
      <c r="P16" s="181" t="inlineStr">
        <is>
          <t>Assumption</t>
        </is>
      </c>
    </row>
    <row r="17" ht="14.25" customHeight="1" s="148">
      <c r="L17" s="178" t="inlineStr">
        <is>
          <t>Change in NWC p.a. ($m, negative = investment)</t>
        </is>
      </c>
      <c r="N17" s="190" t="n">
        <v>0</v>
      </c>
      <c r="O17" s="180" t="inlineStr">
        <is>
          <t>A</t>
        </is>
      </c>
      <c r="P17" s="181" t="inlineStr">
        <is>
          <t>Assumed flat</t>
        </is>
      </c>
    </row>
    <row r="18" ht="14.25" customHeight="1" s="148">
      <c r="B18" s="147" t="inlineStr">
        <is>
          <t>EBITDA</t>
        </is>
      </c>
      <c r="E18" s="176">
        <f>E19*E15</f>
        <v/>
      </c>
      <c r="F18" s="176">
        <f>F19*F15</f>
        <v/>
      </c>
      <c r="G18" s="176">
        <f>G19*G15</f>
        <v/>
      </c>
      <c r="H18" s="176">
        <f>H19*H15</f>
        <v/>
      </c>
      <c r="I18" s="176">
        <f>I19*I15</f>
        <v/>
      </c>
      <c r="J18" s="176">
        <f>J19*J15</f>
        <v/>
      </c>
      <c r="L18" s="178" t="inlineStr">
        <is>
          <t>Exit multiple (x)</t>
        </is>
      </c>
      <c r="N18" s="195" t="n">
        <v>8.5</v>
      </c>
      <c r="O18" s="180" t="inlineStr">
        <is>
          <t>A</t>
        </is>
      </c>
      <c r="P18" s="181" t="inlineStr">
        <is>
          <t>Assumed equal to entry</t>
        </is>
      </c>
    </row>
    <row r="19" ht="14.25" customHeight="1" s="148">
      <c r="B19" s="193" t="inlineStr">
        <is>
          <t>% margin</t>
        </is>
      </c>
      <c r="E19" s="196">
        <f>N14</f>
        <v/>
      </c>
      <c r="F19" s="196">
        <f>E19</f>
        <v/>
      </c>
      <c r="G19" s="196">
        <f>F19</f>
        <v/>
      </c>
      <c r="H19" s="196">
        <f>G19</f>
        <v/>
      </c>
      <c r="I19" s="196">
        <f>H19</f>
        <v/>
      </c>
      <c r="J19" s="196">
        <f>I19</f>
        <v/>
      </c>
      <c r="L19" s="178" t="inlineStr">
        <is>
          <t>Entry date</t>
        </is>
      </c>
      <c r="N19" s="197" t="n">
        <v>44243</v>
      </c>
      <c r="O19" s="180" t="inlineStr">
        <is>
          <t>F</t>
        </is>
      </c>
      <c r="P19" s="181" t="inlineStr">
        <is>
          <t>Closing date per filings</t>
        </is>
      </c>
    </row>
    <row r="20" ht="14.25" customHeight="1" s="148">
      <c r="L20" s="178" t="inlineStr">
        <is>
          <t>Underwritten exit date (5-year hold)</t>
        </is>
      </c>
      <c r="N20" s="198" t="n">
        <v>46069</v>
      </c>
      <c r="O20" s="180" t="inlineStr">
        <is>
          <t>A</t>
        </is>
      </c>
      <c r="P20" s="181" t="inlineStr">
        <is>
          <t>Template convention: five projection years</t>
        </is>
      </c>
    </row>
    <row r="21" ht="14.25" customHeight="1" s="148">
      <c r="B21" s="185" t="inlineStr">
        <is>
          <t>LFCF Build</t>
        </is>
      </c>
      <c r="L21" s="178" t="inlineStr">
        <is>
          <t>Actual exit / valuation date</t>
        </is>
      </c>
      <c r="N21" s="197" t="n">
        <v>46069</v>
      </c>
      <c r="O21" s="180" t="inlineStr">
        <is>
          <t>F</t>
        </is>
      </c>
      <c r="P21" s="181" t="inlineStr">
        <is>
          <t>Realised exit date per filings</t>
        </is>
      </c>
    </row>
    <row r="22" ht="14.25" customHeight="1" s="148">
      <c r="B22" s="147" t="inlineStr">
        <is>
          <t>EBITDA</t>
        </is>
      </c>
      <c r="E22" s="199" t="n"/>
      <c r="F22" s="199">
        <f>F18</f>
        <v/>
      </c>
      <c r="G22" s="199">
        <f>G18</f>
        <v/>
      </c>
      <c r="H22" s="199">
        <f>H18</f>
        <v/>
      </c>
      <c r="I22" s="199">
        <f>I18</f>
        <v/>
      </c>
      <c r="J22" s="199">
        <f>J18</f>
        <v/>
      </c>
    </row>
    <row r="23" ht="14.25" customHeight="1" s="148">
      <c r="B23" s="147" t="inlineStr">
        <is>
          <t>(-) D&amp;A</t>
        </is>
      </c>
      <c r="E23" s="199" t="n"/>
      <c r="F23" s="199">
        <f>-$N$15</f>
        <v/>
      </c>
      <c r="G23" s="199">
        <f>-$N$15</f>
        <v/>
      </c>
      <c r="H23" s="199">
        <f>-$N$15</f>
        <v/>
      </c>
      <c r="I23" s="199">
        <f>-$N$15</f>
        <v/>
      </c>
      <c r="J23" s="199">
        <f>-$N$15</f>
        <v/>
      </c>
    </row>
    <row r="24" ht="14.25" customHeight="1" s="148">
      <c r="B24" s="188" t="inlineStr">
        <is>
          <t>EBIT</t>
        </is>
      </c>
      <c r="C24" s="188" t="n"/>
      <c r="D24" s="188" t="n"/>
      <c r="E24" s="200" t="n"/>
      <c r="F24" s="200">
        <f>F22+F23</f>
        <v/>
      </c>
      <c r="G24" s="200">
        <f>G22+G23</f>
        <v/>
      </c>
      <c r="H24" s="200">
        <f>H22+H23</f>
        <v/>
      </c>
      <c r="I24" s="200">
        <f>I22+I23</f>
        <v/>
      </c>
      <c r="J24" s="200">
        <f>J22+J23</f>
        <v/>
      </c>
    </row>
    <row r="25" ht="14.25" customHeight="1" s="148">
      <c r="B25" s="147" t="inlineStr">
        <is>
          <t>(-) Cash Interest</t>
        </is>
      </c>
      <c r="D25" s="196">
        <f>N10</f>
        <v/>
      </c>
      <c r="E25" s="199" t="n"/>
      <c r="F25" s="199">
        <f>$E$12*-$D$25</f>
        <v/>
      </c>
      <c r="G25" s="199">
        <f>$E$12*-$D$25</f>
        <v/>
      </c>
      <c r="H25" s="199">
        <f>$E$12*-$D$25</f>
        <v/>
      </c>
      <c r="I25" s="199">
        <f>$E$12*-$D$25</f>
        <v/>
      </c>
      <c r="J25" s="199">
        <f>$E$12*-$D$25</f>
        <v/>
      </c>
    </row>
    <row r="26" ht="14.25" customHeight="1" s="148">
      <c r="B26" s="188" t="inlineStr">
        <is>
          <t>EBT</t>
        </is>
      </c>
      <c r="C26" s="188" t="n"/>
      <c r="D26" s="188" t="n"/>
      <c r="E26" s="200" t="n"/>
      <c r="F26" s="200">
        <f>F24+F25</f>
        <v/>
      </c>
      <c r="G26" s="200">
        <f>G24+G25</f>
        <v/>
      </c>
      <c r="H26" s="200">
        <f>H24+H25</f>
        <v/>
      </c>
      <c r="I26" s="200">
        <f>I24+I25</f>
        <v/>
      </c>
      <c r="J26" s="200">
        <f>J24+J25</f>
        <v/>
      </c>
    </row>
    <row r="27" ht="14.25" customHeight="1" s="148">
      <c r="B27" s="147" t="inlineStr">
        <is>
          <t>(-) Taxes</t>
        </is>
      </c>
      <c r="D27" s="196">
        <f>N11</f>
        <v/>
      </c>
      <c r="E27" s="199" t="n"/>
      <c r="F27" s="199">
        <f>F26*-$D27</f>
        <v/>
      </c>
      <c r="G27" s="199">
        <f>G26*-$D27</f>
        <v/>
      </c>
      <c r="H27" s="199">
        <f>H26*-$D27</f>
        <v/>
      </c>
      <c r="I27" s="199">
        <f>I26*-$D27</f>
        <v/>
      </c>
      <c r="J27" s="199">
        <f>J26*-$D27</f>
        <v/>
      </c>
    </row>
    <row r="28" ht="14.25" customHeight="1" s="148">
      <c r="B28" s="188" t="inlineStr">
        <is>
          <t>Net Income</t>
        </is>
      </c>
      <c r="C28" s="188" t="n"/>
      <c r="D28" s="188" t="n"/>
      <c r="E28" s="200" t="n"/>
      <c r="F28" s="200">
        <f>F26+F27</f>
        <v/>
      </c>
      <c r="G28" s="200">
        <f>G26+G27</f>
        <v/>
      </c>
      <c r="H28" s="200">
        <f>H26+H27</f>
        <v/>
      </c>
      <c r="I28" s="200">
        <f>I26+I27</f>
        <v/>
      </c>
      <c r="J28" s="200">
        <f>J26+J27</f>
        <v/>
      </c>
    </row>
    <row r="29" ht="14.25" customHeight="1" s="148">
      <c r="B29" s="147" t="inlineStr">
        <is>
          <t>(+) D&amp;A</t>
        </is>
      </c>
      <c r="E29" s="199" t="n"/>
      <c r="F29" s="199">
        <f>-F23</f>
        <v/>
      </c>
      <c r="G29" s="199">
        <f>-G23</f>
        <v/>
      </c>
      <c r="H29" s="199">
        <f>-H23</f>
        <v/>
      </c>
      <c r="I29" s="199">
        <f>-I23</f>
        <v/>
      </c>
      <c r="J29" s="199">
        <f>-J23</f>
        <v/>
      </c>
    </row>
    <row r="30" ht="14.25" customHeight="1" s="148">
      <c r="B30" s="147" t="inlineStr">
        <is>
          <t>(-) Capex</t>
        </is>
      </c>
      <c r="E30" s="199" t="n"/>
      <c r="F30" s="199">
        <f>-$N$16</f>
        <v/>
      </c>
      <c r="G30" s="199">
        <f>-$N$16</f>
        <v/>
      </c>
      <c r="H30" s="199">
        <f>-$N$16</f>
        <v/>
      </c>
      <c r="I30" s="199">
        <f>-$N$16</f>
        <v/>
      </c>
      <c r="J30" s="199">
        <f>-$N$16</f>
        <v/>
      </c>
    </row>
    <row r="31" ht="14.25" customHeight="1" s="148">
      <c r="B31" s="147" t="inlineStr">
        <is>
          <t>(-) Change in NWC</t>
        </is>
      </c>
      <c r="E31" s="199" t="n"/>
      <c r="F31" s="199">
        <f>$N$17</f>
        <v/>
      </c>
      <c r="G31" s="199">
        <f>$N$17</f>
        <v/>
      </c>
      <c r="H31" s="199">
        <f>$N$17</f>
        <v/>
      </c>
      <c r="I31" s="199">
        <f>$N$17</f>
        <v/>
      </c>
      <c r="J31" s="199">
        <f>$N$17</f>
        <v/>
      </c>
    </row>
    <row r="32" ht="14.25" customHeight="1" s="148">
      <c r="B32" s="188" t="inlineStr">
        <is>
          <t>Levered FCF</t>
        </is>
      </c>
      <c r="C32" s="188" t="n"/>
      <c r="D32" s="188" t="n"/>
      <c r="E32" s="200" t="n"/>
      <c r="F32" s="200">
        <f>SUM(F28:F31)</f>
        <v/>
      </c>
      <c r="G32" s="200">
        <f>SUM(G28:G31)</f>
        <v/>
      </c>
      <c r="H32" s="200">
        <f>SUM(H28:H31)</f>
        <v/>
      </c>
      <c r="I32" s="200">
        <f>SUM(I28:I31)</f>
        <v/>
      </c>
      <c r="J32" s="200">
        <f>SUM(J28:J31)</f>
        <v/>
      </c>
    </row>
    <row r="33" ht="14.25" customHeight="1" s="148">
      <c r="B33" s="193" t="inlineStr">
        <is>
          <t>Cumulative LFCF</t>
        </is>
      </c>
      <c r="E33" s="199" t="n"/>
      <c r="F33" s="201">
        <f>SUM($E32:F32)</f>
        <v/>
      </c>
      <c r="G33" s="201">
        <f>SUM($E32:G32)</f>
        <v/>
      </c>
      <c r="H33" s="201">
        <f>SUM($E32:H32)</f>
        <v/>
      </c>
      <c r="I33" s="201">
        <f>SUM($E32:I32)</f>
        <v/>
      </c>
      <c r="J33" s="201">
        <f>SUM($E32:J32)</f>
        <v/>
      </c>
    </row>
    <row r="35" ht="14.25" customHeight="1" s="148">
      <c r="B35" s="191" t="inlineStr">
        <is>
          <t>Returns — UNDERWRITTEN CASE (template mechanics: interest on opening debt, all LFCF accumulates as cash)</t>
        </is>
      </c>
      <c r="C35" s="192" t="n"/>
      <c r="D35" s="192" t="n"/>
      <c r="E35" s="174" t="n"/>
      <c r="F35" s="174" t="n"/>
      <c r="G35" s="174" t="n"/>
      <c r="H35" s="174" t="n"/>
      <c r="I35" s="174" t="n"/>
      <c r="J35" s="174" t="n"/>
    </row>
    <row r="37" ht="14.25" customHeight="1" s="148">
      <c r="B37" s="147" t="inlineStr">
        <is>
          <t>Exit EBITDA (2025)</t>
        </is>
      </c>
      <c r="E37" s="199">
        <f>J18</f>
        <v/>
      </c>
    </row>
    <row r="38" ht="14.25" customHeight="1" s="148">
      <c r="B38" s="147" t="inlineStr">
        <is>
          <t>(x) Exit Multiple</t>
        </is>
      </c>
      <c r="E38" s="164">
        <f>N18</f>
        <v/>
      </c>
    </row>
    <row r="39" ht="14.25" customHeight="1" s="148">
      <c r="B39" s="202" t="inlineStr">
        <is>
          <t>Enterprise Value</t>
        </is>
      </c>
      <c r="C39" s="202" t="n"/>
      <c r="D39" s="202" t="n"/>
      <c r="E39" s="203">
        <f>E37*E38</f>
        <v/>
      </c>
    </row>
    <row r="40" ht="14.25" customHeight="1" s="148">
      <c r="B40" s="147" t="inlineStr">
        <is>
          <t>(-) Debt</t>
        </is>
      </c>
      <c r="E40" s="199">
        <f>-E12</f>
        <v/>
      </c>
    </row>
    <row r="41" ht="14.25" customHeight="1" s="148">
      <c r="B41" s="147" t="inlineStr">
        <is>
          <t>(+) Cash</t>
        </is>
      </c>
      <c r="E41" s="199">
        <f>J33</f>
        <v/>
      </c>
    </row>
    <row r="42" ht="14.25" customHeight="1" s="148">
      <c r="B42" s="202" t="inlineStr">
        <is>
          <t>Equity Value at Exit</t>
        </is>
      </c>
      <c r="C42" s="202" t="n"/>
      <c r="D42" s="202" t="n"/>
      <c r="E42" s="203">
        <f>SUM(E39:E41)</f>
        <v/>
      </c>
    </row>
    <row r="43" ht="14.25" customHeight="1" s="148">
      <c r="B43" s="147" t="inlineStr">
        <is>
          <t xml:space="preserve">Initial Equity Investment </t>
        </is>
      </c>
      <c r="E43" s="199">
        <f>E6</f>
        <v/>
      </c>
    </row>
    <row r="45" ht="14.25" customHeight="1" s="148">
      <c r="B45" s="147" t="inlineStr">
        <is>
          <t>MoM</t>
        </is>
      </c>
      <c r="E45" s="164">
        <f>E42/E43</f>
        <v/>
      </c>
    </row>
    <row r="46" ht="14.25" customHeight="1" s="148">
      <c r="B46" s="147" t="inlineStr">
        <is>
          <t>IRR</t>
        </is>
      </c>
      <c r="E46" s="177">
        <f>XIRR(E48:E49,B48:B49)</f>
        <v/>
      </c>
    </row>
    <row r="48" ht="14.25" customHeight="1" s="148">
      <c r="B48" s="204">
        <f>N19</f>
        <v/>
      </c>
      <c r="E48" s="199">
        <f>-E6</f>
        <v/>
      </c>
    </row>
    <row r="49" ht="14.25" customHeight="1" s="148">
      <c r="B49" s="204">
        <f>N20</f>
        <v/>
      </c>
      <c r="E49" s="199">
        <f>E42</f>
        <v/>
      </c>
    </row>
    <row r="52" ht="14.25" customHeight="1" s="148">
      <c r="B52" s="205" t="inlineStr">
        <is>
          <t>ACTUAL OUTCOME</t>
        </is>
      </c>
      <c r="C52" s="206" t="n"/>
      <c r="D52" s="206" t="n"/>
      <c r="E52" s="206" t="n"/>
      <c r="F52" s="206" t="n"/>
      <c r="G52" s="206" t="n"/>
      <c r="H52" s="206" t="n"/>
      <c r="I52" s="206" t="n"/>
      <c r="J52" s="206" t="n"/>
    </row>
    <row r="53" ht="14.25" customHeight="1" s="148">
      <c r="B53" s="207" t="inlineStr">
        <is>
          <t>Exit enterprise value, actual ($m)</t>
        </is>
      </c>
      <c r="E53" s="208" t="n">
        <v>1440</v>
      </c>
    </row>
    <row r="54" ht="14.25" customHeight="1" s="148">
      <c r="B54" s="207" t="inlineStr">
        <is>
          <t>Debt at exit ($m)</t>
        </is>
      </c>
      <c r="E54" s="208" t="n">
        <v>500</v>
      </c>
    </row>
    <row r="55" ht="14.25" customHeight="1" s="148">
      <c r="B55" s="207" t="inlineStr">
        <is>
          <t>Equity value at exit ($m)</t>
        </is>
      </c>
      <c r="E55" s="165">
        <f>E53-E54</f>
        <v/>
      </c>
    </row>
    <row r="56" ht="14.25" customHeight="1" s="148">
      <c r="B56" s="207" t="inlineStr">
        <is>
          <t>Equity invested (from Sources) ($m)</t>
        </is>
      </c>
      <c r="E56" s="165">
        <f>E6</f>
        <v/>
      </c>
    </row>
    <row r="57" ht="14.25" customHeight="1" s="148">
      <c r="B57" s="207" t="inlineStr">
        <is>
          <t>MoM, actual</t>
        </is>
      </c>
      <c r="E57" s="164">
        <f>E55/E56</f>
        <v/>
      </c>
    </row>
    <row r="58" ht="14.25" customHeight="1" s="148">
      <c r="B58" s="207" t="inlineStr">
        <is>
          <t>IRR, actual</t>
        </is>
      </c>
      <c r="E58" s="209">
        <f>IFERROR(XIRR(E62:E63,B62:B63),"n/m")</f>
        <v/>
      </c>
    </row>
    <row r="59" ht="14.25" customHeight="1" s="148">
      <c r="B59" s="207" t="inlineStr">
        <is>
          <t>MoM variance vs underwritten</t>
        </is>
      </c>
      <c r="E59" s="164">
        <f>E57-E45</f>
        <v/>
      </c>
    </row>
    <row r="60" ht="14.25" customHeight="1" s="148">
      <c r="B60" s="207" t="inlineStr">
        <is>
          <t>IRR variance vs underwritten (pts)</t>
        </is>
      </c>
      <c r="E60" s="165">
        <f>IFERROR((E58-E46)*100,"n/m")</f>
        <v/>
      </c>
    </row>
    <row r="62" ht="14.25" customHeight="1" s="148">
      <c r="B62" s="204">
        <f>N19</f>
        <v/>
      </c>
      <c r="E62" s="147">
        <f>-E6</f>
        <v/>
      </c>
      <c r="G62" s="155" t="inlineStr">
        <is>
          <t>cash flows for XIRR (actual)</t>
        </is>
      </c>
    </row>
    <row r="63" ht="14.25" customHeight="1" s="148">
      <c r="B63" s="204">
        <f>N21</f>
        <v/>
      </c>
      <c r="E63" s="165">
        <f>E55</f>
        <v/>
      </c>
    </row>
    <row r="65" ht="14.25" customHeight="1" s="148">
      <c r="B65" s="163" t="inlineStr">
        <is>
          <t>Actual outcome note:</t>
        </is>
      </c>
    </row>
    <row r="66" ht="14.25" customHeight="1" s="148">
      <c r="B66" s="151" t="inlineStr">
        <is>
          <t>COUNTERFACTUAL, not a realised exit: within eleven months of termination Dorel sold Sports alone to Pon for $810m (~11x per the circular's Sports EBITDA), leaving Home + Juvenile with ~$90m of EBITDA that at 7x is ~$630m. $810m + $630m = ~$1,440m of value against a $947m ex-fee take-private EV. Sponsor equity would have been $314m + $83m family rollover.</t>
        </is>
      </c>
    </row>
    <row r="67" ht="14.25" customHeight="1" s="148"/>
    <row r="68" ht="14.25" customHeight="1" s="148"/>
    <row r="69" ht="14.25" customHeight="1" s="148"/>
    <row r="71" ht="14.25" customHeight="1" s="148">
      <c r="B71" s="163" t="inlineStr">
        <is>
          <t>Deal note:</t>
        </is>
      </c>
    </row>
    <row r="72" ht="14.25" customHeight="1" s="148">
      <c r="B72" s="151" t="inlineStr">
        <is>
          <t>TD Securities' formal valuation range was C$14.00-C$17.00; the deal died at C$16.00 with ~19% of the minority publicly opposed. The board's post-mortem argument, that the sum of the parts exceeded the offer, is what the Pon sale proved.</t>
        </is>
      </c>
    </row>
    <row r="73" ht="14.25" customHeight="1" s="148"/>
    <row r="74" ht="14.25" customHeight="1" s="148"/>
    <row r="75" ht="14.25" customHeight="1" s="148"/>
    <row r="77" ht="14.25" customHeight="1" s="148">
      <c r="B77" s="155" t="inlineStr">
        <is>
          <t>Classification: Take-private with family rollover (terminated 15 Feb 2021)  |  Status: Terminated; counterfactual shown</t>
        </is>
      </c>
    </row>
  </sheetData>
  <mergeCells count="5">
    <mergeCell ref="B4:E4"/>
    <mergeCell ref="G4:J4"/>
    <mergeCell ref="B66:J69"/>
    <mergeCell ref="B72:J75"/>
    <mergeCell ref="B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44546A"/>
    <outlinePr summaryBelow="1" summaryRight="1"/>
    <pageSetUpPr fitToPage="0"/>
  </sheetPr>
  <dimension ref="A1:L20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2.75" zeroHeight="0" outlineLevelRow="0"/>
  <cols>
    <col width="2.82" customWidth="1" style="213" min="1" max="1"/>
    <col width="11.54" customWidth="1" style="213" min="2" max="2"/>
    <col width="8.73" customWidth="1" style="213" min="3" max="16384"/>
  </cols>
  <sheetData>
    <row r="1" ht="16.15" customHeight="1" s="148">
      <c r="B1" s="214" t="inlineStr">
        <is>
          <t>KKR / Varsity Brands (2024) — Full LBO model (template: LBO Model Solution)</t>
        </is>
      </c>
    </row>
    <row r="2" ht="12.75" customHeight="1" s="148">
      <c r="B2" s="215" t="inlineStr">
        <is>
          <t>Assumptions</t>
        </is>
      </c>
      <c r="L2" s="163" t="inlineStr">
        <is>
          <t>INPUT NOTES</t>
        </is>
      </c>
    </row>
    <row r="3" ht="137.3" customHeight="1" s="148">
      <c r="B3" s="213" t="inlineStr">
        <is>
          <t>Entry Multiple</t>
        </is>
      </c>
      <c r="E3" s="216" t="n">
        <v>11.875</v>
      </c>
      <c r="G3" s="213" t="inlineStr">
        <is>
          <t>TL</t>
        </is>
      </c>
      <c r="I3" s="216" t="n">
        <v>6.1875</v>
      </c>
      <c r="J3" s="217" t="n">
        <v>0.0225</v>
      </c>
      <c r="L3" s="150" t="inlineStr">
        <is>
          <t>EBITDA at entry $400m and entry multiple 11.875x reproduce the filed/reported purchase price of $4,750m.</t>
        </is>
      </c>
    </row>
    <row r="4" ht="85.05" customHeight="1" s="148">
      <c r="B4" s="213" t="inlineStr">
        <is>
          <t>Exit Multiple</t>
        </is>
      </c>
      <c r="E4" s="216" t="n">
        <v>11</v>
      </c>
      <c r="G4" s="213" t="inlineStr">
        <is>
          <t>Mezz</t>
        </is>
      </c>
      <c r="I4" s="216" t="n">
        <v>0</v>
      </c>
      <c r="J4" s="217" t="n">
        <v>0</v>
      </c>
      <c r="L4" s="150" t="inlineStr">
        <is>
          <t>Term loan 6.1875x EBITDA at 9.05%; mezz/second-lien 0.0x at 0.00%.</t>
        </is>
      </c>
    </row>
    <row r="5" ht="231.3" customHeight="1" s="148">
      <c r="B5" s="213" t="inlineStr">
        <is>
          <t>EBITDA at Entry</t>
        </is>
      </c>
      <c r="E5" s="218" t="n">
        <v>400</v>
      </c>
      <c r="G5" s="213" t="inlineStr">
        <is>
          <t>Days</t>
        </is>
      </c>
      <c r="I5" s="219" t="n">
        <v>365</v>
      </c>
      <c r="L5" s="150" t="inlineStr">
        <is>
          <t>Purchase-accounting inputs (NPV of assets, PP&amp;E allocation, DTL rate), working-capital days and D&amp;A/capex ratios are assumptions unless the paper tab's source column says otherwise.</t>
        </is>
      </c>
    </row>
    <row r="6" ht="179.1" customHeight="1" s="148">
      <c r="B6" s="213" t="inlineStr">
        <is>
          <t>Financing Fees Years</t>
        </is>
      </c>
      <c r="E6" s="220" t="n">
        <v>7</v>
      </c>
      <c r="G6" s="213" t="inlineStr">
        <is>
          <t>Tax Rate</t>
        </is>
      </c>
      <c r="I6" s="221" t="n">
        <v>0.25</v>
      </c>
      <c r="L6" s="150" t="inlineStr">
        <is>
          <t>Sensitivity tables (rows 173-186) are Excel data tables and recompute when opened in Excel; other spreadsheet apps may show the last cached values.</t>
        </is>
      </c>
    </row>
    <row r="7" ht="408.2" customHeight="1" s="148">
      <c r="B7" s="213" t="inlineStr">
        <is>
          <t>D&amp;A Life</t>
        </is>
      </c>
      <c r="E7" s="220" t="n">
        <v>15</v>
      </c>
      <c r="L7" s="150" t="inlineStr">
        <is>
          <t>Three template formulas are corrected on this tab so the model survives negative cash flow: CFF now includes the revolver draw (row 89); a negative cash balance no longer triggers a second revolver draw (row 110); the term-loan sweep only uses cash that exists (row 120). With positive cash flow the results are identical to the original.</t>
        </is>
      </c>
    </row>
    <row r="8" ht="179.1" customHeight="1" s="148">
      <c r="B8" s="213" t="inlineStr">
        <is>
          <t>Rollover</t>
        </is>
      </c>
      <c r="E8" s="222" t="n">
        <v>0</v>
      </c>
      <c r="G8" s="223" t="inlineStr">
        <is>
          <t>circ</t>
        </is>
      </c>
      <c r="H8" s="224" t="n"/>
      <c r="I8" s="225" t="n">
        <v>1</v>
      </c>
      <c r="J8" s="226" t="inlineStr">
        <is>
          <t>&lt;&lt; interest is charged on opening balances on this tab, so no iteration is needed; 1 keeps interest on</t>
        </is>
      </c>
      <c r="L8" s="150" t="inlineStr">
        <is>
          <t>Interest is charged on opening balances, which removes the template's circular reference; switch I8 is left at 1 so the interest lines stay live.</t>
        </is>
      </c>
    </row>
    <row r="10" ht="12.75" customHeight="1" s="148">
      <c r="B10" s="215" t="inlineStr">
        <is>
          <t>Sources</t>
        </is>
      </c>
      <c r="G10" s="215" t="inlineStr">
        <is>
          <t>Uses</t>
        </is>
      </c>
    </row>
    <row r="11" ht="12.75" customHeight="1" s="148">
      <c r="B11" s="213" t="inlineStr">
        <is>
          <t>Term Loan</t>
        </is>
      </c>
      <c r="E11" s="227">
        <f>+I3*$E$5</f>
        <v/>
      </c>
      <c r="G11" s="213" t="inlineStr">
        <is>
          <t>Equity purchase price</t>
        </is>
      </c>
      <c r="J11" s="227">
        <f>+E18</f>
        <v/>
      </c>
    </row>
    <row r="12" ht="12.75" customHeight="1" s="148">
      <c r="B12" s="213" t="inlineStr">
        <is>
          <t>Mezz Loan</t>
        </is>
      </c>
      <c r="E12" s="227">
        <f>+I4*$E$5</f>
        <v/>
      </c>
      <c r="G12" s="213" t="inlineStr">
        <is>
          <t>M&amp;A fee</t>
        </is>
      </c>
      <c r="J12" s="218" t="n">
        <v>70</v>
      </c>
    </row>
    <row r="13" ht="12.75" customHeight="1" s="148">
      <c r="B13" s="213" t="inlineStr">
        <is>
          <t>Management Rollover</t>
        </is>
      </c>
      <c r="E13" s="227">
        <f>+E18*E8</f>
        <v/>
      </c>
      <c r="G13" s="213" t="inlineStr">
        <is>
          <t>Fin. Fee</t>
        </is>
      </c>
      <c r="J13" s="228">
        <f>+J3*E11+J4*E12</f>
        <v/>
      </c>
    </row>
    <row r="14" ht="12.75" customHeight="1" s="148">
      <c r="B14" s="213" t="inlineStr">
        <is>
          <t>Sponsor Equity</t>
        </is>
      </c>
      <c r="E14" s="227">
        <f>E15-SUM(E11:E13)</f>
        <v/>
      </c>
      <c r="J14" s="227" t="n"/>
    </row>
    <row r="15" ht="12.75" customHeight="1" s="148">
      <c r="B15" s="229" t="inlineStr">
        <is>
          <t>Total Sources</t>
        </is>
      </c>
      <c r="C15" s="229" t="n"/>
      <c r="D15" s="229" t="n"/>
      <c r="E15" s="230">
        <f>J15</f>
        <v/>
      </c>
      <c r="G15" s="229" t="inlineStr">
        <is>
          <t>Total Uses</t>
        </is>
      </c>
      <c r="H15" s="229" t="n"/>
      <c r="I15" s="229" t="n"/>
      <c r="J15" s="230">
        <f>SUM(J11:J14)</f>
        <v/>
      </c>
    </row>
    <row r="17" ht="12.75" customHeight="1" s="148">
      <c r="B17" s="215" t="inlineStr">
        <is>
          <t>Purchase Acct</t>
        </is>
      </c>
      <c r="G17" s="231" t="n"/>
    </row>
    <row r="18" ht="12.75" customHeight="1" s="148">
      <c r="B18" s="213" t="inlineStr">
        <is>
          <t>Purchase Price</t>
        </is>
      </c>
      <c r="E18" s="227">
        <f>+E3*E5</f>
        <v/>
      </c>
      <c r="G18" s="232" t="n"/>
    </row>
    <row r="19" ht="12.75" customHeight="1" s="148">
      <c r="B19" s="213" t="inlineStr">
        <is>
          <t>(-) NPV</t>
        </is>
      </c>
      <c r="E19" s="218" t="n">
        <v>-600</v>
      </c>
      <c r="G19" s="231" t="n"/>
    </row>
    <row r="20" ht="12.75" customHeight="1" s="148">
      <c r="B20" s="233" t="inlineStr">
        <is>
          <t>Excess</t>
        </is>
      </c>
      <c r="C20" s="233" t="n"/>
      <c r="D20" s="233" t="n"/>
      <c r="E20" s="234">
        <f>SUM(E18:E19)</f>
        <v/>
      </c>
      <c r="G20" s="231" t="n"/>
    </row>
    <row r="21" ht="12.75" customHeight="1" s="148">
      <c r="B21" s="213" t="inlineStr">
        <is>
          <t>(-) Alloc to PPE</t>
        </is>
      </c>
      <c r="D21" s="221" t="n">
        <v>0.1</v>
      </c>
      <c r="E21" s="227">
        <f>+-E20*D21</f>
        <v/>
      </c>
      <c r="G21" s="231" t="n"/>
    </row>
    <row r="22" ht="12.75" customHeight="1" s="148">
      <c r="B22" s="213" t="inlineStr">
        <is>
          <t>DTL</t>
        </is>
      </c>
      <c r="D22" s="221" t="n">
        <v>0.25</v>
      </c>
      <c r="E22" s="227">
        <f>+-E21*D22</f>
        <v/>
      </c>
      <c r="G22" s="231" t="n"/>
    </row>
    <row r="23" ht="12.75" customHeight="1" s="148">
      <c r="B23" s="235" t="inlineStr">
        <is>
          <t>Goodwill</t>
        </is>
      </c>
      <c r="C23" s="235" t="n"/>
      <c r="D23" s="235" t="n"/>
      <c r="E23" s="236">
        <f>SUM(E20:E22)</f>
        <v/>
      </c>
    </row>
    <row r="25" ht="12.75" customHeight="1" s="148">
      <c r="A25" s="213" t="inlineStr">
        <is>
          <t>x</t>
        </is>
      </c>
      <c r="B25" s="237" t="inlineStr">
        <is>
          <t>Income Statement</t>
        </is>
      </c>
      <c r="C25" s="237" t="n"/>
      <c r="D25" s="237" t="n"/>
      <c r="E25" s="237" t="n">
        <v>2024</v>
      </c>
      <c r="F25" s="237">
        <f>E25+1</f>
        <v/>
      </c>
      <c r="G25" s="237">
        <f>F25+1</f>
        <v/>
      </c>
      <c r="H25" s="237">
        <f>G25+1</f>
        <v/>
      </c>
      <c r="I25" s="237">
        <f>H25+1</f>
        <v/>
      </c>
      <c r="J25" s="237">
        <f>I25+1</f>
        <v/>
      </c>
    </row>
    <row r="26" ht="12.75" customHeight="1" s="148">
      <c r="B26" s="238" t="inlineStr">
        <is>
          <t>Revenue</t>
        </is>
      </c>
      <c r="C26" s="238" t="n"/>
      <c r="D26" s="238" t="n"/>
      <c r="E26" s="236">
        <f>+E31/E32</f>
        <v/>
      </c>
      <c r="F26" s="236">
        <f>+E26*(1+F27)</f>
        <v/>
      </c>
      <c r="G26" s="236">
        <f>+F26*(1+G27)</f>
        <v/>
      </c>
      <c r="H26" s="236">
        <f>+G26*(1+H27)</f>
        <v/>
      </c>
      <c r="I26" s="236">
        <f>+H26*(1+I27)</f>
        <v/>
      </c>
      <c r="J26" s="236">
        <f>+I26*(1+J27)</f>
        <v/>
      </c>
    </row>
    <row r="27" ht="12.75" customHeight="1" s="148">
      <c r="B27" s="239" t="inlineStr">
        <is>
          <t>% Growth</t>
        </is>
      </c>
      <c r="F27" s="221" t="n">
        <v>0.05</v>
      </c>
      <c r="G27" s="240">
        <f>+F27</f>
        <v/>
      </c>
      <c r="H27" s="240">
        <f>+G27</f>
        <v/>
      </c>
      <c r="I27" s="240">
        <f>+H27</f>
        <v/>
      </c>
      <c r="J27" s="240">
        <f>+I27</f>
        <v/>
      </c>
    </row>
    <row r="28" ht="12.75" customHeight="1" s="148">
      <c r="B28" s="213" t="inlineStr">
        <is>
          <t>(-) Cogs</t>
        </is>
      </c>
      <c r="E28" s="227">
        <f>E29-E26</f>
        <v/>
      </c>
      <c r="F28" s="227">
        <f>F29-F26</f>
        <v/>
      </c>
      <c r="G28" s="227">
        <f>G29-G26</f>
        <v/>
      </c>
      <c r="H28" s="227">
        <f>H29-H26</f>
        <v/>
      </c>
      <c r="I28" s="227">
        <f>I29-I26</f>
        <v/>
      </c>
      <c r="J28" s="227">
        <f>J29-J26</f>
        <v/>
      </c>
    </row>
    <row r="29" ht="12.75" customHeight="1" s="148">
      <c r="B29" s="235" t="inlineStr">
        <is>
          <t>Gross Profit</t>
        </is>
      </c>
      <c r="C29" s="235" t="n"/>
      <c r="D29" s="235" t="n"/>
      <c r="E29" s="236">
        <f>+E26*E30</f>
        <v/>
      </c>
      <c r="F29" s="236">
        <f>+F26*F30</f>
        <v/>
      </c>
      <c r="G29" s="236">
        <f>+G26*G30</f>
        <v/>
      </c>
      <c r="H29" s="236">
        <f>+H26*H30</f>
        <v/>
      </c>
      <c r="I29" s="236">
        <f>+I26*I30</f>
        <v/>
      </c>
      <c r="J29" s="236">
        <f>+J26*J30</f>
        <v/>
      </c>
    </row>
    <row r="30" ht="12.75" customHeight="1" s="148">
      <c r="B30" s="239" t="inlineStr">
        <is>
          <t>% Gross Margin</t>
        </is>
      </c>
      <c r="E30" s="221" t="n">
        <v>0.4</v>
      </c>
      <c r="F30" s="240">
        <f>+E30</f>
        <v/>
      </c>
      <c r="G30" s="240">
        <f>+F30</f>
        <v/>
      </c>
      <c r="H30" s="240">
        <f>+G30</f>
        <v/>
      </c>
      <c r="I30" s="240">
        <f>+H30</f>
        <v/>
      </c>
      <c r="J30" s="240">
        <f>+I30</f>
        <v/>
      </c>
    </row>
    <row r="31" ht="12.75" customHeight="1" s="148">
      <c r="B31" s="238" t="inlineStr">
        <is>
          <t>EBITDA</t>
        </is>
      </c>
      <c r="C31" s="238" t="n"/>
      <c r="D31" s="238" t="n"/>
      <c r="E31" s="241">
        <f>+E5</f>
        <v/>
      </c>
      <c r="F31" s="241">
        <f>+F26*F32</f>
        <v/>
      </c>
      <c r="G31" s="241">
        <f>+G26*G32</f>
        <v/>
      </c>
      <c r="H31" s="241">
        <f>+H26*H32</f>
        <v/>
      </c>
      <c r="I31" s="241">
        <f>+I26*I32</f>
        <v/>
      </c>
      <c r="J31" s="241">
        <f>+J26*J32</f>
        <v/>
      </c>
    </row>
    <row r="32" ht="12.75" customHeight="1" s="148">
      <c r="B32" s="242" t="inlineStr">
        <is>
          <t>% Margin</t>
        </is>
      </c>
      <c r="E32" s="221" t="n">
        <v>0.1538</v>
      </c>
      <c r="F32" s="240">
        <f>+E32</f>
        <v/>
      </c>
      <c r="G32" s="240">
        <f>+F32</f>
        <v/>
      </c>
      <c r="H32" s="240">
        <f>+G32</f>
        <v/>
      </c>
      <c r="I32" s="240">
        <f>+H32</f>
        <v/>
      </c>
      <c r="J32" s="240">
        <f>+I32</f>
        <v/>
      </c>
    </row>
    <row r="33" ht="12.75" customHeight="1" s="148">
      <c r="B33" s="213" t="inlineStr">
        <is>
          <t>(-) D&amp;A</t>
        </is>
      </c>
      <c r="F33" s="227">
        <f>+-F26*F46+F42</f>
        <v/>
      </c>
      <c r="G33" s="227">
        <f>+-G26*G46+G42</f>
        <v/>
      </c>
      <c r="H33" s="227">
        <f>+-H26*H46+H42</f>
        <v/>
      </c>
      <c r="I33" s="227">
        <f>+-I26*I46+I42</f>
        <v/>
      </c>
      <c r="J33" s="227">
        <f>+-J26*J46+J42</f>
        <v/>
      </c>
    </row>
    <row r="34" ht="12.75" customHeight="1" s="148">
      <c r="B34" s="235" t="inlineStr">
        <is>
          <t>EBIT</t>
        </is>
      </c>
      <c r="C34" s="235" t="n"/>
      <c r="D34" s="235" t="n"/>
      <c r="E34" s="235" t="n"/>
      <c r="F34" s="236">
        <f>+F31+F33</f>
        <v/>
      </c>
      <c r="G34" s="236">
        <f>+G31+G33</f>
        <v/>
      </c>
      <c r="H34" s="236">
        <f>+H31+H33</f>
        <v/>
      </c>
      <c r="I34" s="236">
        <f>+I31+I33</f>
        <v/>
      </c>
      <c r="J34" s="236">
        <f>+J31+J33</f>
        <v/>
      </c>
    </row>
    <row r="35" ht="12.75" customHeight="1" s="148">
      <c r="B35" s="213" t="inlineStr">
        <is>
          <t>(-) Interest Expense</t>
        </is>
      </c>
      <c r="F35" s="243">
        <f>+$I$8*F150</f>
        <v/>
      </c>
      <c r="G35" s="243">
        <f>+$I$8*G150</f>
        <v/>
      </c>
      <c r="H35" s="243">
        <f>+$I$8*H150</f>
        <v/>
      </c>
      <c r="I35" s="243">
        <f>+$I$8*I150</f>
        <v/>
      </c>
      <c r="J35" s="243">
        <f>+$I$8*J150</f>
        <v/>
      </c>
    </row>
    <row r="36" ht="12.75" customHeight="1" s="148">
      <c r="B36" s="213" t="inlineStr">
        <is>
          <t>(+) Interest Income</t>
        </is>
      </c>
      <c r="F36" s="243">
        <f>+$I$8*F148</f>
        <v/>
      </c>
      <c r="G36" s="243">
        <f>+$I$8*G148</f>
        <v/>
      </c>
      <c r="H36" s="243">
        <f>+$I$8*H148</f>
        <v/>
      </c>
      <c r="I36" s="243">
        <f>+$I$8*I148</f>
        <v/>
      </c>
      <c r="J36" s="243">
        <f>+$I$8*J148</f>
        <v/>
      </c>
    </row>
    <row r="37" ht="12.75" customHeight="1" s="148">
      <c r="B37" s="213" t="inlineStr">
        <is>
          <t>(-) Amort. Of Fin Fee</t>
        </is>
      </c>
      <c r="F37" s="227">
        <f>+-$J$13/$E$6</f>
        <v/>
      </c>
      <c r="G37" s="227">
        <f>+-$J$13/$E$6</f>
        <v/>
      </c>
      <c r="H37" s="227">
        <f>+-$J$13/$E$6</f>
        <v/>
      </c>
      <c r="I37" s="227">
        <f>+-$J$13/$E$6</f>
        <v/>
      </c>
      <c r="J37" s="227">
        <f>+-$J$13/$E$6</f>
        <v/>
      </c>
    </row>
    <row r="38" ht="12.75" customHeight="1" s="148">
      <c r="B38" s="235" t="inlineStr">
        <is>
          <t>EBT</t>
        </is>
      </c>
      <c r="C38" s="235" t="n"/>
      <c r="D38" s="235" t="n"/>
      <c r="E38" s="235" t="n"/>
      <c r="F38" s="236">
        <f>SUM(F34:F37)</f>
        <v/>
      </c>
      <c r="G38" s="236">
        <f>SUM(G34:G37)</f>
        <v/>
      </c>
      <c r="H38" s="236">
        <f>SUM(H34:H37)</f>
        <v/>
      </c>
      <c r="I38" s="236">
        <f>SUM(I34:I37)</f>
        <v/>
      </c>
      <c r="J38" s="236">
        <f>SUM(J34:J37)</f>
        <v/>
      </c>
    </row>
    <row r="39" ht="12.75" customHeight="1" s="148">
      <c r="B39" s="213" t="inlineStr">
        <is>
          <t>(-) Taxes</t>
        </is>
      </c>
      <c r="F39" s="227">
        <f>+-F38*$I$6</f>
        <v/>
      </c>
      <c r="G39" s="227">
        <f>+-G38*$I$6</f>
        <v/>
      </c>
      <c r="H39" s="227">
        <f>+-H38*$I$6</f>
        <v/>
      </c>
      <c r="I39" s="227">
        <f>+-I38*$I$6</f>
        <v/>
      </c>
      <c r="J39" s="227">
        <f>+-J38*$I$6</f>
        <v/>
      </c>
    </row>
    <row r="40" ht="12.75" customHeight="1" s="148">
      <c r="B40" s="235" t="inlineStr">
        <is>
          <t>Net Income</t>
        </is>
      </c>
      <c r="C40" s="235" t="n"/>
      <c r="D40" s="235" t="n"/>
      <c r="E40" s="235" t="n"/>
      <c r="F40" s="236">
        <f>SUM(F38:F39)</f>
        <v/>
      </c>
      <c r="G40" s="236">
        <f>SUM(G38:G39)</f>
        <v/>
      </c>
      <c r="H40" s="236">
        <f>SUM(H38:H39)</f>
        <v/>
      </c>
      <c r="I40" s="236">
        <f>SUM(I38:I39)</f>
        <v/>
      </c>
      <c r="J40" s="236">
        <f>SUM(J38:J39)</f>
        <v/>
      </c>
    </row>
    <row r="41" ht="12.75" customHeight="1" s="148">
      <c r="F41" s="227" t="n"/>
      <c r="G41" s="227" t="n"/>
      <c r="H41" s="227" t="n"/>
      <c r="I41" s="227" t="n"/>
      <c r="J41" s="227" t="n"/>
    </row>
    <row r="42" ht="12.75" customHeight="1" s="148">
      <c r="B42" s="213" t="inlineStr">
        <is>
          <t>Incremental D&amp;A</t>
        </is>
      </c>
      <c r="F42" s="227">
        <f>+$E$21/$E$7</f>
        <v/>
      </c>
      <c r="G42" s="227">
        <f>+$E$21/$E$7</f>
        <v/>
      </c>
      <c r="H42" s="227">
        <f>+$E$21/$E$7</f>
        <v/>
      </c>
      <c r="I42" s="227">
        <f>+$E$21/$E$7</f>
        <v/>
      </c>
      <c r="J42" s="227">
        <f>+$E$21/$E$7</f>
        <v/>
      </c>
    </row>
    <row r="43" ht="12.75" customHeight="1" s="148">
      <c r="B43" s="213" t="inlineStr">
        <is>
          <t>DTL</t>
        </is>
      </c>
      <c r="F43" s="227">
        <f>+F42*$D$22</f>
        <v/>
      </c>
      <c r="G43" s="227">
        <f>+G42*$D$22</f>
        <v/>
      </c>
      <c r="H43" s="227">
        <f>+H42*$D$22</f>
        <v/>
      </c>
      <c r="I43" s="227">
        <f>+I42*$D$22</f>
        <v/>
      </c>
      <c r="J43" s="227">
        <f>+J42*$D$22</f>
        <v/>
      </c>
    </row>
    <row r="44" ht="12.75" customHeight="1" s="148">
      <c r="B44" s="213" t="inlineStr">
        <is>
          <t>Capex</t>
        </is>
      </c>
      <c r="F44" s="227">
        <f>-F47*F33</f>
        <v/>
      </c>
      <c r="G44" s="227">
        <f>-G47*G33</f>
        <v/>
      </c>
      <c r="H44" s="227">
        <f>-H47*H33</f>
        <v/>
      </c>
      <c r="I44" s="227">
        <f>-I47*I33</f>
        <v/>
      </c>
      <c r="J44" s="227">
        <f>-J47*J33</f>
        <v/>
      </c>
    </row>
    <row r="46" ht="12.75" customHeight="1" s="148">
      <c r="B46" s="213" t="inlineStr">
        <is>
          <t>D&amp;A as % of Sales</t>
        </is>
      </c>
      <c r="F46" s="221" t="n">
        <v>0.03</v>
      </c>
      <c r="G46" s="244">
        <f>+F46</f>
        <v/>
      </c>
      <c r="H46" s="244">
        <f>+G46</f>
        <v/>
      </c>
      <c r="I46" s="244">
        <f>+H46</f>
        <v/>
      </c>
      <c r="J46" s="244">
        <f>+I46</f>
        <v/>
      </c>
    </row>
    <row r="47" ht="12.75" customHeight="1" s="148">
      <c r="B47" s="213" t="inlineStr">
        <is>
          <t>Capex as % of D&amp;A</t>
        </is>
      </c>
      <c r="F47" s="221" t="n">
        <v>0.8</v>
      </c>
      <c r="G47" s="244">
        <f>+F47</f>
        <v/>
      </c>
      <c r="H47" s="244">
        <f>+G47</f>
        <v/>
      </c>
      <c r="I47" s="244">
        <f>+H47</f>
        <v/>
      </c>
      <c r="J47" s="244">
        <f>+I47</f>
        <v/>
      </c>
    </row>
    <row r="49" ht="12.75" customHeight="1" s="148">
      <c r="A49" s="213" t="inlineStr">
        <is>
          <t>x</t>
        </is>
      </c>
      <c r="B49" s="237" t="inlineStr">
        <is>
          <t>WC Schedule</t>
        </is>
      </c>
      <c r="C49" s="237" t="n"/>
      <c r="D49" s="237" t="n"/>
      <c r="E49" s="237" t="n">
        <v>2013</v>
      </c>
      <c r="F49" s="237">
        <f>E49+1</f>
        <v/>
      </c>
      <c r="G49" s="237">
        <f>F49+1</f>
        <v/>
      </c>
      <c r="H49" s="237">
        <f>G49+1</f>
        <v/>
      </c>
      <c r="I49" s="237">
        <f>H49+1</f>
        <v/>
      </c>
      <c r="J49" s="237">
        <f>I49+1</f>
        <v/>
      </c>
    </row>
    <row r="50" ht="12.75" customHeight="1" s="148">
      <c r="B50" s="213" t="inlineStr">
        <is>
          <t>AR</t>
        </is>
      </c>
      <c r="E50" s="227">
        <f>+E26*E57/$I$5</f>
        <v/>
      </c>
      <c r="F50" s="227">
        <f>+F26*F57/$I$5</f>
        <v/>
      </c>
      <c r="G50" s="227">
        <f>+G26*G57/$I$5</f>
        <v/>
      </c>
      <c r="H50" s="227">
        <f>+H26*H57/$I$5</f>
        <v/>
      </c>
      <c r="I50" s="227">
        <f>+I26*I57/$I$5</f>
        <v/>
      </c>
      <c r="J50" s="227">
        <f>+J26*J57/$I$5</f>
        <v/>
      </c>
    </row>
    <row r="51" ht="12.75" customHeight="1" s="148">
      <c r="B51" s="213" t="inlineStr">
        <is>
          <t>Inventory</t>
        </is>
      </c>
      <c r="E51" s="227">
        <f>-E28/E58</f>
        <v/>
      </c>
      <c r="F51" s="227">
        <f>-F28/F58</f>
        <v/>
      </c>
      <c r="G51" s="227">
        <f>-G28/G58</f>
        <v/>
      </c>
      <c r="H51" s="227">
        <f>-H28/H58</f>
        <v/>
      </c>
      <c r="I51" s="227">
        <f>-I28/I58</f>
        <v/>
      </c>
      <c r="J51" s="227">
        <f>-J28/J58</f>
        <v/>
      </c>
    </row>
    <row r="52" ht="12.75" customHeight="1" s="148">
      <c r="B52" s="213" t="inlineStr">
        <is>
          <t>AP</t>
        </is>
      </c>
      <c r="E52" s="227">
        <f>-E28*E59/$I$5</f>
        <v/>
      </c>
      <c r="F52" s="227">
        <f>-F28*F59/$I$5</f>
        <v/>
      </c>
      <c r="G52" s="227">
        <f>-G28*G59/$I$5</f>
        <v/>
      </c>
      <c r="H52" s="227">
        <f>-H28*H59/$I$5</f>
        <v/>
      </c>
      <c r="I52" s="227">
        <f>-I28*I59/$I$5</f>
        <v/>
      </c>
      <c r="J52" s="227">
        <f>-J28*J59/$I$5</f>
        <v/>
      </c>
    </row>
    <row r="53" ht="12.75" customHeight="1" s="148">
      <c r="B53" s="233" t="inlineStr">
        <is>
          <t>WC</t>
        </is>
      </c>
      <c r="C53" s="233" t="n"/>
      <c r="D53" s="233" t="n"/>
      <c r="E53" s="234">
        <f>+E50+E51-E52</f>
        <v/>
      </c>
      <c r="F53" s="234">
        <f>+F50+F51-F52</f>
        <v/>
      </c>
      <c r="G53" s="234">
        <f>+G50+G51-G52</f>
        <v/>
      </c>
      <c r="H53" s="234">
        <f>+H50+H51-H52</f>
        <v/>
      </c>
      <c r="I53" s="234">
        <f>+I50+I51-I52</f>
        <v/>
      </c>
      <c r="J53" s="234">
        <f>+J50+J51-J52</f>
        <v/>
      </c>
    </row>
    <row r="54" ht="12.75" customHeight="1" s="148">
      <c r="B54" s="213" t="inlineStr">
        <is>
          <t>Change in WC</t>
        </is>
      </c>
      <c r="E54" s="227" t="n"/>
      <c r="F54" s="227">
        <f>+F53-E53</f>
        <v/>
      </c>
      <c r="G54" s="227">
        <f>+G53-F53</f>
        <v/>
      </c>
      <c r="H54" s="227">
        <f>+H53-G53</f>
        <v/>
      </c>
      <c r="I54" s="227">
        <f>+I53-H53</f>
        <v/>
      </c>
      <c r="J54" s="227">
        <f>+J53-I53</f>
        <v/>
      </c>
    </row>
    <row r="56" ht="12.75" customHeight="1" s="148">
      <c r="B56" s="245" t="inlineStr">
        <is>
          <t>Metrics</t>
        </is>
      </c>
    </row>
    <row r="57" ht="12.75" customHeight="1" s="148">
      <c r="B57" s="213" t="inlineStr">
        <is>
          <t>AR</t>
        </is>
      </c>
      <c r="E57" s="246" t="n">
        <v>45</v>
      </c>
      <c r="F57" s="247">
        <f>+E57</f>
        <v/>
      </c>
      <c r="G57" s="247">
        <f>+F57</f>
        <v/>
      </c>
      <c r="H57" s="247">
        <f>+G57</f>
        <v/>
      </c>
      <c r="I57" s="247">
        <f>+H57</f>
        <v/>
      </c>
      <c r="J57" s="247">
        <f>+I57</f>
        <v/>
      </c>
    </row>
    <row r="58" ht="12.75" customHeight="1" s="148">
      <c r="B58" s="213" t="inlineStr">
        <is>
          <t>Inventory</t>
        </is>
      </c>
      <c r="E58" s="216" t="n">
        <v>5</v>
      </c>
      <c r="F58" s="248">
        <f>+E58</f>
        <v/>
      </c>
      <c r="G58" s="248">
        <f>+F58</f>
        <v/>
      </c>
      <c r="H58" s="248">
        <f>+G58</f>
        <v/>
      </c>
      <c r="I58" s="248">
        <f>+H58</f>
        <v/>
      </c>
      <c r="J58" s="248">
        <f>+I58</f>
        <v/>
      </c>
    </row>
    <row r="59" ht="12.75" customHeight="1" s="148">
      <c r="B59" s="213" t="inlineStr">
        <is>
          <t>AP</t>
        </is>
      </c>
      <c r="E59" s="246" t="n">
        <v>45</v>
      </c>
      <c r="F59" s="247">
        <f>+E59</f>
        <v/>
      </c>
      <c r="G59" s="247">
        <f>+F59</f>
        <v/>
      </c>
      <c r="H59" s="247">
        <f>+G59</f>
        <v/>
      </c>
      <c r="I59" s="247">
        <f>+H59</f>
        <v/>
      </c>
      <c r="J59" s="247">
        <f>+I59</f>
        <v/>
      </c>
    </row>
    <row r="61" ht="12.75" customHeight="1" s="148">
      <c r="A61" s="213" t="inlineStr">
        <is>
          <t>x</t>
        </is>
      </c>
      <c r="B61" s="237" t="inlineStr">
        <is>
          <t>Cap Table</t>
        </is>
      </c>
      <c r="C61" s="237" t="n"/>
      <c r="D61" s="237" t="n"/>
      <c r="E61" s="237" t="n">
        <v>2013</v>
      </c>
      <c r="F61" s="237">
        <f>E61+1</f>
        <v/>
      </c>
      <c r="G61" s="237">
        <f>F61+1</f>
        <v/>
      </c>
      <c r="H61" s="237">
        <f>G61+1</f>
        <v/>
      </c>
      <c r="I61" s="237">
        <f>H61+1</f>
        <v/>
      </c>
      <c r="J61" s="237">
        <f>I61+1</f>
        <v/>
      </c>
    </row>
    <row r="62" ht="12.75" customHeight="1" s="148">
      <c r="B62" s="213" t="inlineStr">
        <is>
          <t>Cash</t>
        </is>
      </c>
      <c r="E62" s="249" t="n">
        <v>0</v>
      </c>
      <c r="F62" s="228">
        <f>+E62+F92</f>
        <v/>
      </c>
      <c r="G62" s="228">
        <f>+F62+G92</f>
        <v/>
      </c>
      <c r="H62" s="228">
        <f>+G62+H92</f>
        <v/>
      </c>
      <c r="I62" s="228">
        <f>+H62+I92</f>
        <v/>
      </c>
      <c r="J62" s="228">
        <f>+I62+J92</f>
        <v/>
      </c>
    </row>
    <row r="63" ht="12.75" customHeight="1" s="148">
      <c r="E63" s="249" t="n"/>
      <c r="F63" s="228" t="n"/>
      <c r="G63" s="228" t="n"/>
      <c r="H63" s="228" t="n"/>
      <c r="I63" s="228" t="n"/>
      <c r="J63" s="228" t="n"/>
    </row>
    <row r="64" ht="12.75" customHeight="1" s="148">
      <c r="B64" s="213" t="inlineStr">
        <is>
          <t>Revolver</t>
        </is>
      </c>
      <c r="E64" s="249" t="n">
        <v>0</v>
      </c>
      <c r="F64" s="228">
        <f>+F111</f>
        <v/>
      </c>
      <c r="G64" s="228">
        <f>+G111</f>
        <v/>
      </c>
      <c r="H64" s="228">
        <f>+H111</f>
        <v/>
      </c>
      <c r="I64" s="228">
        <f>+I111</f>
        <v/>
      </c>
      <c r="J64" s="228">
        <f>+J111</f>
        <v/>
      </c>
    </row>
    <row r="65" ht="12.75" customHeight="1" s="148">
      <c r="B65" s="213" t="inlineStr">
        <is>
          <t>Term Loan</t>
        </is>
      </c>
      <c r="E65" s="228">
        <f>+E11</f>
        <v/>
      </c>
      <c r="F65" s="228">
        <f>+F121</f>
        <v/>
      </c>
      <c r="G65" s="228">
        <f>+G121</f>
        <v/>
      </c>
      <c r="H65" s="228">
        <f>+H121</f>
        <v/>
      </c>
      <c r="I65" s="228">
        <f>+I121</f>
        <v/>
      </c>
      <c r="J65" s="228">
        <f>+J121</f>
        <v/>
      </c>
    </row>
    <row r="66" ht="12.75" customHeight="1" s="148">
      <c r="B66" s="213" t="inlineStr">
        <is>
          <t>Mezz Loan</t>
        </is>
      </c>
      <c r="E66" s="228">
        <f>+E12</f>
        <v/>
      </c>
      <c r="F66" s="228">
        <f>+F132</f>
        <v/>
      </c>
      <c r="G66" s="228">
        <f>+G132</f>
        <v/>
      </c>
      <c r="H66" s="228">
        <f>+H132</f>
        <v/>
      </c>
      <c r="I66" s="228">
        <f>+I132</f>
        <v/>
      </c>
      <c r="J66" s="228">
        <f>+J132</f>
        <v/>
      </c>
    </row>
    <row r="67" ht="12.75" customHeight="1" s="148">
      <c r="B67" s="233" t="inlineStr">
        <is>
          <t>Total Debt</t>
        </is>
      </c>
      <c r="C67" s="233" t="n"/>
      <c r="D67" s="233" t="n"/>
      <c r="E67" s="234">
        <f>SUM(E64:E66)</f>
        <v/>
      </c>
      <c r="F67" s="234">
        <f>SUM(F64:F66)</f>
        <v/>
      </c>
      <c r="G67" s="234">
        <f>SUM(G64:G66)</f>
        <v/>
      </c>
      <c r="H67" s="234">
        <f>SUM(H64:H66)</f>
        <v/>
      </c>
      <c r="I67" s="234">
        <f>SUM(I64:I66)</f>
        <v/>
      </c>
      <c r="J67" s="234">
        <f>SUM(J64:J66)</f>
        <v/>
      </c>
    </row>
    <row r="68" ht="12.75" customHeight="1" s="148">
      <c r="B68" s="213" t="inlineStr">
        <is>
          <t>Equity</t>
        </is>
      </c>
      <c r="E68" s="228">
        <f>SUM(E13:E14)-J12</f>
        <v/>
      </c>
      <c r="F68" s="228">
        <f>+E68+F40</f>
        <v/>
      </c>
      <c r="G68" s="228">
        <f>+F68+G40</f>
        <v/>
      </c>
      <c r="H68" s="228">
        <f>+G68+H40</f>
        <v/>
      </c>
      <c r="I68" s="228">
        <f>+H68+I40</f>
        <v/>
      </c>
      <c r="J68" s="228">
        <f>+I68+J40</f>
        <v/>
      </c>
    </row>
    <row r="69" ht="12.75" customHeight="1" s="148">
      <c r="B69" s="233" t="inlineStr">
        <is>
          <t>Total Cap</t>
        </is>
      </c>
      <c r="C69" s="233" t="n"/>
      <c r="D69" s="233" t="n"/>
      <c r="E69" s="234">
        <f>SUM(E67:E68)</f>
        <v/>
      </c>
      <c r="F69" s="234">
        <f>SUM(F67:F68)</f>
        <v/>
      </c>
      <c r="G69" s="234">
        <f>SUM(G67:G68)</f>
        <v/>
      </c>
      <c r="H69" s="234">
        <f>SUM(H67:H68)</f>
        <v/>
      </c>
      <c r="I69" s="234">
        <f>SUM(I67:I68)</f>
        <v/>
      </c>
      <c r="J69" s="234">
        <f>SUM(J67:J68)</f>
        <v/>
      </c>
    </row>
    <row r="71" ht="12.75" customHeight="1" s="148">
      <c r="B71" s="213" t="inlineStr">
        <is>
          <t>Term Loan / EBITDA</t>
        </is>
      </c>
      <c r="E71" s="250">
        <f>+E65/$E$31</f>
        <v/>
      </c>
      <c r="F71" s="250">
        <f>+F65/$E$31</f>
        <v/>
      </c>
      <c r="G71" s="250">
        <f>+G65/$E$31</f>
        <v/>
      </c>
      <c r="H71" s="250">
        <f>+H65/$E$31</f>
        <v/>
      </c>
      <c r="I71" s="250">
        <f>+I65/$E$31</f>
        <v/>
      </c>
      <c r="J71" s="250">
        <f>+J65/$E$31</f>
        <v/>
      </c>
    </row>
    <row r="72" ht="12.75" customHeight="1" s="148">
      <c r="B72" s="213" t="inlineStr">
        <is>
          <t>Mezz Loan / EBITDA</t>
        </is>
      </c>
      <c r="E72" s="250">
        <f>+E66/$E$31</f>
        <v/>
      </c>
      <c r="F72" s="250">
        <f>+F66/$E$31</f>
        <v/>
      </c>
      <c r="G72" s="250">
        <f>+G66/$E$31</f>
        <v/>
      </c>
      <c r="H72" s="250">
        <f>+H66/$E$31</f>
        <v/>
      </c>
      <c r="I72" s="250">
        <f>+I66/$E$31</f>
        <v/>
      </c>
      <c r="J72" s="250">
        <f>+J66/$E$31</f>
        <v/>
      </c>
    </row>
    <row r="73" ht="12.75" customHeight="1" s="148">
      <c r="B73" s="213" t="inlineStr">
        <is>
          <t>Total Debt / EBITDA</t>
        </is>
      </c>
      <c r="E73" s="250">
        <f>+E67/$E$31</f>
        <v/>
      </c>
      <c r="F73" s="250">
        <f>+F67/$E$31</f>
        <v/>
      </c>
      <c r="G73" s="250">
        <f>+G67/$E$31</f>
        <v/>
      </c>
      <c r="H73" s="250">
        <f>+H67/$E$31</f>
        <v/>
      </c>
      <c r="I73" s="250">
        <f>+I67/$E$31</f>
        <v/>
      </c>
      <c r="J73" s="250">
        <f>+J67/$E$31</f>
        <v/>
      </c>
    </row>
    <row r="74" ht="12.75" customHeight="1" s="148">
      <c r="B74" s="213" t="inlineStr">
        <is>
          <t>Total Debt / Cap</t>
        </is>
      </c>
      <c r="E74" s="251">
        <f>+E67/E69</f>
        <v/>
      </c>
      <c r="F74" s="251">
        <f>+F67/F69</f>
        <v/>
      </c>
      <c r="G74" s="251">
        <f>+G67/G69</f>
        <v/>
      </c>
      <c r="H74" s="251">
        <f>+H67/H69</f>
        <v/>
      </c>
      <c r="I74" s="251">
        <f>+I67/I69</f>
        <v/>
      </c>
      <c r="J74" s="251">
        <f>+J67/J69</f>
        <v/>
      </c>
    </row>
    <row r="76" ht="12.75" customHeight="1" s="148">
      <c r="A76" s="213" t="inlineStr">
        <is>
          <t>x</t>
        </is>
      </c>
      <c r="B76" s="237" t="inlineStr">
        <is>
          <t>Cash Flow Statement</t>
        </is>
      </c>
      <c r="C76" s="237" t="n"/>
      <c r="D76" s="237" t="n"/>
      <c r="E76" s="237" t="n">
        <v>2013</v>
      </c>
      <c r="F76" s="237">
        <f>E76+1</f>
        <v/>
      </c>
      <c r="G76" s="237">
        <f>F76+1</f>
        <v/>
      </c>
      <c r="H76" s="237">
        <f>G76+1</f>
        <v/>
      </c>
      <c r="I76" s="237">
        <f>H76+1</f>
        <v/>
      </c>
      <c r="J76" s="237">
        <f>I76+1</f>
        <v/>
      </c>
    </row>
    <row r="77" ht="12.75" customHeight="1" s="148">
      <c r="B77" s="213" t="inlineStr">
        <is>
          <t>Net Income</t>
        </is>
      </c>
      <c r="F77" s="227">
        <f>+F40</f>
        <v/>
      </c>
      <c r="G77" s="227">
        <f>+G40</f>
        <v/>
      </c>
      <c r="H77" s="227">
        <f>+H40</f>
        <v/>
      </c>
      <c r="I77" s="227">
        <f>+I40</f>
        <v/>
      </c>
      <c r="J77" s="227">
        <f>+J40</f>
        <v/>
      </c>
    </row>
    <row r="78" ht="12.75" customHeight="1" s="148">
      <c r="B78" s="213" t="inlineStr">
        <is>
          <t>(+) D&amp;A</t>
        </is>
      </c>
      <c r="F78" s="227">
        <f>+-F33</f>
        <v/>
      </c>
      <c r="G78" s="227">
        <f>+-G33</f>
        <v/>
      </c>
      <c r="H78" s="227">
        <f>+-H33</f>
        <v/>
      </c>
      <c r="I78" s="227">
        <f>+-I33</f>
        <v/>
      </c>
      <c r="J78" s="227">
        <f>+-J33</f>
        <v/>
      </c>
    </row>
    <row r="79" ht="12.75" customHeight="1" s="148">
      <c r="B79" s="213" t="inlineStr">
        <is>
          <t>(-) DTL</t>
        </is>
      </c>
      <c r="F79" s="227">
        <f>+F43</f>
        <v/>
      </c>
      <c r="G79" s="227">
        <f>+G43</f>
        <v/>
      </c>
      <c r="H79" s="227">
        <f>+H43</f>
        <v/>
      </c>
      <c r="I79" s="227">
        <f>+I43</f>
        <v/>
      </c>
      <c r="J79" s="227">
        <f>+J43</f>
        <v/>
      </c>
    </row>
    <row r="80" ht="12.75" customHeight="1" s="148">
      <c r="B80" s="213" t="inlineStr">
        <is>
          <t>(+) PIK</t>
        </is>
      </c>
      <c r="F80" s="227">
        <f>-+F139</f>
        <v/>
      </c>
      <c r="G80" s="227">
        <f>-+G139</f>
        <v/>
      </c>
      <c r="H80" s="227">
        <f>-+H139</f>
        <v/>
      </c>
      <c r="I80" s="227">
        <f>-+I139</f>
        <v/>
      </c>
      <c r="J80" s="227">
        <f>-+J139</f>
        <v/>
      </c>
    </row>
    <row r="81" ht="12.75" customHeight="1" s="148">
      <c r="B81" s="213" t="inlineStr">
        <is>
          <t>(+) Amort Fee</t>
        </is>
      </c>
      <c r="F81" s="227">
        <f>+-F37</f>
        <v/>
      </c>
      <c r="G81" s="227">
        <f>+-G37</f>
        <v/>
      </c>
      <c r="H81" s="227">
        <f>+-H37</f>
        <v/>
      </c>
      <c r="I81" s="227">
        <f>+-I37</f>
        <v/>
      </c>
      <c r="J81" s="227">
        <f>+-J37</f>
        <v/>
      </c>
    </row>
    <row r="82" ht="12.75" customHeight="1" s="148">
      <c r="B82" s="213" t="inlineStr">
        <is>
          <t>(-) Change WC</t>
        </is>
      </c>
      <c r="F82" s="227">
        <f>+-F54</f>
        <v/>
      </c>
      <c r="G82" s="227">
        <f>+-G54</f>
        <v/>
      </c>
      <c r="H82" s="227">
        <f>+-H54</f>
        <v/>
      </c>
      <c r="I82" s="227">
        <f>+-I54</f>
        <v/>
      </c>
      <c r="J82" s="227">
        <f>+-J54</f>
        <v/>
      </c>
    </row>
    <row r="83" ht="12.75" customHeight="1" s="148">
      <c r="B83" s="233" t="inlineStr">
        <is>
          <t>CFO</t>
        </is>
      </c>
      <c r="C83" s="233" t="n"/>
      <c r="D83" s="233" t="n"/>
      <c r="E83" s="233" t="n"/>
      <c r="F83" s="234">
        <f>SUM(F77:F82)</f>
        <v/>
      </c>
      <c r="G83" s="234">
        <f>SUM(G77:G82)</f>
        <v/>
      </c>
      <c r="H83" s="234">
        <f>SUM(H77:H82)</f>
        <v/>
      </c>
      <c r="I83" s="234">
        <f>SUM(I77:I82)</f>
        <v/>
      </c>
      <c r="J83" s="234">
        <f>SUM(J77:J82)</f>
        <v/>
      </c>
    </row>
    <row r="84" ht="12.75" customHeight="1" s="148">
      <c r="F84" s="227" t="n"/>
      <c r="G84" s="227" t="n"/>
      <c r="H84" s="227" t="n"/>
      <c r="I84" s="227" t="n"/>
      <c r="J84" s="227" t="n"/>
    </row>
    <row r="85" ht="12.75" customHeight="1" s="148">
      <c r="B85" s="213" t="inlineStr">
        <is>
          <t>Capex</t>
        </is>
      </c>
      <c r="F85" s="227">
        <f>+-F44</f>
        <v/>
      </c>
      <c r="G85" s="227">
        <f>+-G44</f>
        <v/>
      </c>
      <c r="H85" s="227">
        <f>+-H44</f>
        <v/>
      </c>
      <c r="I85" s="227">
        <f>+-I44</f>
        <v/>
      </c>
      <c r="J85" s="227">
        <f>+-J44</f>
        <v/>
      </c>
    </row>
    <row r="86" ht="12.75" customHeight="1" s="148">
      <c r="B86" s="233" t="inlineStr">
        <is>
          <t>CFI</t>
        </is>
      </c>
      <c r="C86" s="233" t="n"/>
      <c r="D86" s="233" t="n"/>
      <c r="E86" s="233" t="n"/>
      <c r="F86" s="234">
        <f>SUM(F85)</f>
        <v/>
      </c>
      <c r="G86" s="234">
        <f>SUM(G85)</f>
        <v/>
      </c>
      <c r="H86" s="234">
        <f>SUM(H85)</f>
        <v/>
      </c>
      <c r="I86" s="234">
        <f>SUM(I85)</f>
        <v/>
      </c>
      <c r="J86" s="234">
        <f>SUM(J85)</f>
        <v/>
      </c>
    </row>
    <row r="87" ht="12.75" customHeight="1" s="148">
      <c r="F87" s="227" t="n"/>
      <c r="G87" s="227" t="n"/>
      <c r="H87" s="227" t="n"/>
      <c r="I87" s="227" t="n"/>
      <c r="J87" s="227" t="n"/>
    </row>
    <row r="88" ht="12.75" customHeight="1" s="148">
      <c r="B88" s="213" t="inlineStr">
        <is>
          <t>Mand. Paymnet</t>
        </is>
      </c>
      <c r="F88" s="227">
        <f>+F119</f>
        <v/>
      </c>
      <c r="G88" s="227">
        <f>+G119</f>
        <v/>
      </c>
      <c r="H88" s="227">
        <f>+H119</f>
        <v/>
      </c>
      <c r="I88" s="227">
        <f>+I119</f>
        <v/>
      </c>
      <c r="J88" s="227">
        <f>+J119</f>
        <v/>
      </c>
    </row>
    <row r="89" ht="12.75" customHeight="1" s="148">
      <c r="B89" s="213" t="inlineStr">
        <is>
          <t>Optional Payment</t>
        </is>
      </c>
      <c r="F89" s="227">
        <f>+SUM(F100,F102,F104)</f>
        <v/>
      </c>
      <c r="G89" s="227">
        <f>+SUM(G100,G102,G104)</f>
        <v/>
      </c>
      <c r="H89" s="227">
        <f>+SUM(H100,H102,H104)</f>
        <v/>
      </c>
      <c r="I89" s="227">
        <f>+SUM(I100,I102,I104)</f>
        <v/>
      </c>
      <c r="J89" s="227">
        <f>+SUM(J100,J102,J104)</f>
        <v/>
      </c>
    </row>
    <row r="90" ht="12.75" customHeight="1" s="148">
      <c r="B90" s="233" t="inlineStr">
        <is>
          <t>CFF</t>
        </is>
      </c>
      <c r="C90" s="233" t="n"/>
      <c r="D90" s="233" t="n"/>
      <c r="E90" s="233" t="n"/>
      <c r="F90" s="234">
        <f>SUM(F88:F89)</f>
        <v/>
      </c>
      <c r="G90" s="234">
        <f>SUM(G88:G89)</f>
        <v/>
      </c>
      <c r="H90" s="234">
        <f>SUM(H88:H89)</f>
        <v/>
      </c>
      <c r="I90" s="234">
        <f>SUM(I88:I89)</f>
        <v/>
      </c>
      <c r="J90" s="234">
        <f>SUM(J88:J89)</f>
        <v/>
      </c>
    </row>
    <row r="91" ht="12.75" customHeight="1" s="148">
      <c r="F91" s="227" t="n"/>
      <c r="G91" s="227" t="n"/>
      <c r="H91" s="227" t="n"/>
      <c r="I91" s="227" t="n"/>
      <c r="J91" s="227" t="n"/>
    </row>
    <row r="92" ht="12.75" customHeight="1" s="148">
      <c r="B92" s="213" t="inlineStr">
        <is>
          <t>Change in Cash</t>
        </is>
      </c>
      <c r="F92" s="227">
        <f>+SUM(F83,F86,F90)</f>
        <v/>
      </c>
      <c r="G92" s="227">
        <f>+SUM(G83,G86,G90)</f>
        <v/>
      </c>
      <c r="H92" s="227">
        <f>+SUM(H83,H86,H90)</f>
        <v/>
      </c>
      <c r="I92" s="227">
        <f>+SUM(I83,I86,I90)</f>
        <v/>
      </c>
      <c r="J92" s="227">
        <f>+SUM(J83,J86,J90)</f>
        <v/>
      </c>
    </row>
    <row r="94" ht="12.75" customHeight="1" s="148">
      <c r="A94" s="213" t="inlineStr">
        <is>
          <t>x</t>
        </is>
      </c>
      <c r="B94" s="237" t="inlineStr">
        <is>
          <t>Debt Paydown</t>
        </is>
      </c>
      <c r="C94" s="237" t="n"/>
      <c r="D94" s="237" t="n"/>
      <c r="E94" s="237" t="n">
        <v>2013</v>
      </c>
      <c r="F94" s="237">
        <f>E94+1</f>
        <v/>
      </c>
      <c r="G94" s="237">
        <f>F94+1</f>
        <v/>
      </c>
      <c r="H94" s="237">
        <f>G94+1</f>
        <v/>
      </c>
      <c r="I94" s="237">
        <f>H94+1</f>
        <v/>
      </c>
      <c r="J94" s="237">
        <f>I94+1</f>
        <v/>
      </c>
    </row>
    <row r="95" ht="12.75" customHeight="1" s="148">
      <c r="B95" s="213" t="inlineStr">
        <is>
          <t>Beg Cash</t>
        </is>
      </c>
      <c r="E95" s="227" t="n"/>
      <c r="F95" s="227">
        <f>+E62</f>
        <v/>
      </c>
      <c r="G95" s="227">
        <f>+F62</f>
        <v/>
      </c>
      <c r="H95" s="227">
        <f>+G62</f>
        <v/>
      </c>
      <c r="I95" s="227">
        <f>+H62</f>
        <v/>
      </c>
      <c r="J95" s="227">
        <f>+I62</f>
        <v/>
      </c>
    </row>
    <row r="96" ht="12.75" customHeight="1" s="148">
      <c r="B96" s="213" t="inlineStr">
        <is>
          <t>(-) Min Cash</t>
        </is>
      </c>
      <c r="E96" s="227" t="n"/>
      <c r="F96" s="249" t="n">
        <v>-50</v>
      </c>
      <c r="G96" s="249" t="n">
        <v>-50</v>
      </c>
      <c r="H96" s="249" t="n">
        <v>-50</v>
      </c>
      <c r="I96" s="249" t="n">
        <v>-50</v>
      </c>
      <c r="J96" s="249" t="n">
        <v>-50</v>
      </c>
    </row>
    <row r="97" ht="12.75" customHeight="1" s="148">
      <c r="B97" s="213" t="inlineStr">
        <is>
          <t>(+) CFO + CFI</t>
        </is>
      </c>
      <c r="E97" s="227" t="n"/>
      <c r="F97" s="227">
        <f>+F83+F86</f>
        <v/>
      </c>
      <c r="G97" s="227">
        <f>+G83+G86</f>
        <v/>
      </c>
      <c r="H97" s="227">
        <f>+H83+H86</f>
        <v/>
      </c>
      <c r="I97" s="227">
        <f>+I83+I86</f>
        <v/>
      </c>
      <c r="J97" s="227">
        <f>+J83+J86</f>
        <v/>
      </c>
    </row>
    <row r="98" ht="12.75" customHeight="1" s="148">
      <c r="B98" s="213" t="inlineStr">
        <is>
          <t>(-) Mand. Payment</t>
        </is>
      </c>
      <c r="E98" s="227" t="n"/>
      <c r="F98" s="227">
        <f>+F88</f>
        <v/>
      </c>
      <c r="G98" s="227">
        <f>+G88</f>
        <v/>
      </c>
      <c r="H98" s="227">
        <f>+H88</f>
        <v/>
      </c>
      <c r="I98" s="227">
        <f>+I88</f>
        <v/>
      </c>
      <c r="J98" s="227">
        <f>+J88</f>
        <v/>
      </c>
    </row>
    <row r="99" ht="12.75" customHeight="1" s="148">
      <c r="B99" s="233" t="inlineStr">
        <is>
          <t>Cash Avail for Revolver</t>
        </is>
      </c>
      <c r="C99" s="233" t="n"/>
      <c r="D99" s="233" t="n"/>
      <c r="E99" s="234" t="n"/>
      <c r="F99" s="234">
        <f>SUM(F95:F98)</f>
        <v/>
      </c>
      <c r="G99" s="234">
        <f>SUM(G95:G98)</f>
        <v/>
      </c>
      <c r="H99" s="234">
        <f>SUM(H95:H98)</f>
        <v/>
      </c>
      <c r="I99" s="234">
        <f>SUM(I95:I98)</f>
        <v/>
      </c>
      <c r="J99" s="234">
        <f>SUM(J95:J98)</f>
        <v/>
      </c>
    </row>
    <row r="100" ht="12.75" customHeight="1" s="148">
      <c r="B100" s="213" t="inlineStr">
        <is>
          <t>(-) Drawdown / Paydown</t>
        </is>
      </c>
      <c r="E100" s="227" t="n"/>
      <c r="F100" s="227">
        <f>+SUM(F109:F110)</f>
        <v/>
      </c>
      <c r="G100" s="227">
        <f>+SUM(G109:G110)</f>
        <v/>
      </c>
      <c r="H100" s="227">
        <f>+SUM(H109:H110)</f>
        <v/>
      </c>
      <c r="I100" s="227">
        <f>+SUM(I109:I110)</f>
        <v/>
      </c>
      <c r="J100" s="227">
        <f>+SUM(J109:J110)</f>
        <v/>
      </c>
    </row>
    <row r="101" ht="12.75" customHeight="1" s="148">
      <c r="B101" s="233" t="inlineStr">
        <is>
          <t>Cash Avail for Term Loan</t>
        </is>
      </c>
      <c r="C101" s="233" t="n"/>
      <c r="D101" s="233" t="n"/>
      <c r="E101" s="234" t="n"/>
      <c r="F101" s="234">
        <f>SUM(F99:F100)</f>
        <v/>
      </c>
      <c r="G101" s="234">
        <f>SUM(G99:G100)</f>
        <v/>
      </c>
      <c r="H101" s="234">
        <f>SUM(H99:H100)</f>
        <v/>
      </c>
      <c r="I101" s="234">
        <f>SUM(I99:I100)</f>
        <v/>
      </c>
      <c r="J101" s="234">
        <f>SUM(J99:J100)</f>
        <v/>
      </c>
    </row>
    <row r="102" ht="12.75" customHeight="1" s="148">
      <c r="B102" s="213" t="inlineStr">
        <is>
          <t>(-) Paydown</t>
        </is>
      </c>
      <c r="E102" s="227" t="n"/>
      <c r="F102" s="227">
        <f>+F120</f>
        <v/>
      </c>
      <c r="G102" s="227">
        <f>+G120</f>
        <v/>
      </c>
      <c r="H102" s="227">
        <f>+H120</f>
        <v/>
      </c>
      <c r="I102" s="227">
        <f>+I120</f>
        <v/>
      </c>
      <c r="J102" s="227">
        <f>+J120</f>
        <v/>
      </c>
    </row>
    <row r="103" ht="12.75" customHeight="1" s="148">
      <c r="B103" s="233" t="inlineStr">
        <is>
          <t>Cash Avail for Mezz Loan</t>
        </is>
      </c>
      <c r="C103" s="233" t="n"/>
      <c r="D103" s="233" t="n"/>
      <c r="E103" s="234" t="n"/>
      <c r="F103" s="234">
        <f>SUM(F101:F102)</f>
        <v/>
      </c>
      <c r="G103" s="234">
        <f>SUM(G101:G102)</f>
        <v/>
      </c>
      <c r="H103" s="234">
        <f>SUM(H101:H102)</f>
        <v/>
      </c>
      <c r="I103" s="234">
        <f>SUM(I101:I102)</f>
        <v/>
      </c>
      <c r="J103" s="234">
        <f>SUM(J101:J102)</f>
        <v/>
      </c>
    </row>
    <row r="104" ht="12.75" customHeight="1" s="148">
      <c r="B104" s="213" t="inlineStr">
        <is>
          <t>(-) Paydown</t>
        </is>
      </c>
      <c r="E104" s="227" t="n"/>
      <c r="F104" s="227">
        <f>+F131</f>
        <v/>
      </c>
      <c r="G104" s="227">
        <f>+G131</f>
        <v/>
      </c>
      <c r="H104" s="227">
        <f>+H131</f>
        <v/>
      </c>
      <c r="I104" s="227">
        <f>+I131</f>
        <v/>
      </c>
      <c r="J104" s="227">
        <f>+J131</f>
        <v/>
      </c>
    </row>
    <row r="105" ht="12.75" customHeight="1" s="148">
      <c r="B105" s="233" t="inlineStr">
        <is>
          <t>Excess Cash</t>
        </is>
      </c>
      <c r="C105" s="233" t="n"/>
      <c r="D105" s="233" t="n"/>
      <c r="E105" s="234" t="n"/>
      <c r="F105" s="234">
        <f>SUM(F103:F104)</f>
        <v/>
      </c>
      <c r="G105" s="234">
        <f>SUM(G103:G104)</f>
        <v/>
      </c>
      <c r="H105" s="234">
        <f>SUM(H103:H104)</f>
        <v/>
      </c>
      <c r="I105" s="234">
        <f>SUM(I103:I104)</f>
        <v/>
      </c>
      <c r="J105" s="234">
        <f>SUM(J103:J104)</f>
        <v/>
      </c>
    </row>
    <row r="106" ht="12.75" customHeight="1" s="148">
      <c r="E106" s="227" t="n"/>
      <c r="F106" s="227" t="n"/>
      <c r="G106" s="227" t="n"/>
      <c r="H106" s="227" t="n"/>
      <c r="I106" s="227" t="n"/>
      <c r="J106" s="227" t="n"/>
    </row>
    <row r="107" ht="12.75" customHeight="1" s="148">
      <c r="B107" s="245" t="inlineStr">
        <is>
          <t>Revolver</t>
        </is>
      </c>
      <c r="E107" s="227" t="n"/>
      <c r="F107" s="227" t="n"/>
      <c r="G107" s="227" t="n"/>
      <c r="H107" s="227" t="n"/>
      <c r="I107" s="227" t="n"/>
      <c r="J107" s="227" t="n"/>
    </row>
    <row r="108" ht="12.75" customHeight="1" s="148">
      <c r="B108" s="213" t="inlineStr">
        <is>
          <t>Beg</t>
        </is>
      </c>
      <c r="E108" s="227" t="n"/>
      <c r="F108" s="227">
        <f>+E111</f>
        <v/>
      </c>
      <c r="G108" s="227">
        <f>+F111</f>
        <v/>
      </c>
      <c r="H108" s="227">
        <f>+G111</f>
        <v/>
      </c>
      <c r="I108" s="227">
        <f>+H111</f>
        <v/>
      </c>
      <c r="J108" s="227">
        <f>+I111</f>
        <v/>
      </c>
    </row>
    <row r="109" ht="12.75" customHeight="1" s="148">
      <c r="B109" s="213" t="inlineStr">
        <is>
          <t>Drawdown</t>
        </is>
      </c>
      <c r="E109" s="227" t="n"/>
      <c r="F109" s="227">
        <f>+-MIN(F99,0)</f>
        <v/>
      </c>
      <c r="G109" s="227">
        <f>+-MIN(G99,0)</f>
        <v/>
      </c>
      <c r="H109" s="227">
        <f>+-MIN(H99,0)</f>
        <v/>
      </c>
      <c r="I109" s="227">
        <f>+-MIN(I99,0)</f>
        <v/>
      </c>
      <c r="J109" s="227">
        <f>+-MIN(J99,0)</f>
        <v/>
      </c>
    </row>
    <row r="110" ht="12.75" customHeight="1" s="148">
      <c r="B110" s="213" t="inlineStr">
        <is>
          <t>Paydown</t>
        </is>
      </c>
      <c r="E110" s="227" t="n"/>
      <c r="F110" s="227">
        <f>+IF(F108&gt;0,-MIN(F108,MAX(F99,0)),0)</f>
        <v/>
      </c>
      <c r="G110" s="227">
        <f>+IF(G108&gt;0,-MIN(G108,MAX(G99,0)),0)</f>
        <v/>
      </c>
      <c r="H110" s="227">
        <f>+IF(H108&gt;0,-MIN(H108,MAX(H99,0)),0)</f>
        <v/>
      </c>
      <c r="I110" s="227">
        <f>+IF(I108&gt;0,-MIN(I108,MAX(I99,0)),0)</f>
        <v/>
      </c>
      <c r="J110" s="227">
        <f>+IF(J108&gt;0,-MIN(J108,MAX(J99,0)),0)</f>
        <v/>
      </c>
    </row>
    <row r="111" ht="12.75" customHeight="1" s="148">
      <c r="B111" s="233" t="inlineStr">
        <is>
          <t>End</t>
        </is>
      </c>
      <c r="C111" s="233" t="n"/>
      <c r="D111" s="233" t="n"/>
      <c r="E111" s="252" t="n">
        <v>0</v>
      </c>
      <c r="F111" s="234">
        <f>SUM(F108:F110)</f>
        <v/>
      </c>
      <c r="G111" s="234">
        <f>SUM(G108:G110)</f>
        <v/>
      </c>
      <c r="H111" s="234">
        <f>SUM(H108:H110)</f>
        <v/>
      </c>
      <c r="I111" s="234">
        <f>SUM(I108:I110)</f>
        <v/>
      </c>
      <c r="J111" s="234">
        <f>SUM(J108:J110)</f>
        <v/>
      </c>
    </row>
    <row r="112" ht="12.75" customHeight="1" s="148">
      <c r="E112" s="227" t="n"/>
      <c r="F112" s="227" t="n"/>
      <c r="G112" s="227" t="n"/>
      <c r="H112" s="227" t="n"/>
      <c r="I112" s="227" t="n"/>
      <c r="J112" s="227" t="n"/>
    </row>
    <row r="113" ht="12.75" customHeight="1" s="148">
      <c r="B113" s="213" t="inlineStr">
        <is>
          <t>Avg</t>
        </is>
      </c>
      <c r="E113" s="227" t="n"/>
      <c r="F113" s="227">
        <f>+E111</f>
        <v/>
      </c>
      <c r="G113" s="227">
        <f>+F111</f>
        <v/>
      </c>
      <c r="H113" s="227">
        <f>+G111</f>
        <v/>
      </c>
      <c r="I113" s="227">
        <f>+H111</f>
        <v/>
      </c>
      <c r="J113" s="227">
        <f>+I111</f>
        <v/>
      </c>
    </row>
    <row r="114" ht="12.75" customHeight="1" s="148">
      <c r="B114" s="213" t="inlineStr">
        <is>
          <t>Interest Rate</t>
        </is>
      </c>
      <c r="F114" s="221" t="n">
        <v>0.08</v>
      </c>
      <c r="G114" s="244">
        <f>+F114</f>
        <v/>
      </c>
      <c r="H114" s="244">
        <f>+G114</f>
        <v/>
      </c>
      <c r="I114" s="244">
        <f>+H114</f>
        <v/>
      </c>
      <c r="J114" s="244">
        <f>+I114</f>
        <v/>
      </c>
    </row>
    <row r="115" ht="12.75" customHeight="1" s="148">
      <c r="B115" s="213" t="inlineStr">
        <is>
          <t>Int Expense</t>
        </is>
      </c>
      <c r="E115" s="227" t="n"/>
      <c r="F115" s="227">
        <f>+-F113*F114</f>
        <v/>
      </c>
      <c r="G115" s="227">
        <f>+-G113*G114</f>
        <v/>
      </c>
      <c r="H115" s="227">
        <f>+-H113*H114</f>
        <v/>
      </c>
      <c r="I115" s="227">
        <f>+-I113*I114</f>
        <v/>
      </c>
      <c r="J115" s="227">
        <f>+-J113*J114</f>
        <v/>
      </c>
    </row>
    <row r="116" ht="12.75" customHeight="1" s="148">
      <c r="E116" s="227" t="n"/>
      <c r="F116" s="227" t="n"/>
      <c r="G116" s="227" t="n"/>
      <c r="H116" s="227" t="n"/>
      <c r="I116" s="227" t="n"/>
      <c r="J116" s="227" t="n"/>
    </row>
    <row r="117" ht="12.75" customHeight="1" s="148">
      <c r="B117" s="245" t="inlineStr">
        <is>
          <t>Term Loan</t>
        </is>
      </c>
      <c r="E117" s="227" t="n"/>
      <c r="F117" s="227" t="n"/>
      <c r="G117" s="227" t="n"/>
      <c r="H117" s="227" t="n"/>
      <c r="I117" s="227" t="n"/>
      <c r="J117" s="227" t="n"/>
    </row>
    <row r="118" ht="12.75" customHeight="1" s="148">
      <c r="B118" s="213" t="inlineStr">
        <is>
          <t>Beg</t>
        </is>
      </c>
      <c r="E118" s="227" t="n"/>
      <c r="F118" s="227">
        <f>+E121</f>
        <v/>
      </c>
      <c r="G118" s="227">
        <f>+F121</f>
        <v/>
      </c>
      <c r="H118" s="227">
        <f>+G121</f>
        <v/>
      </c>
      <c r="I118" s="227">
        <f>+H121</f>
        <v/>
      </c>
      <c r="J118" s="227">
        <f>+I121</f>
        <v/>
      </c>
    </row>
    <row r="119" ht="12.75" customHeight="1" s="148">
      <c r="B119" s="213" t="inlineStr">
        <is>
          <t>Mand. Amort</t>
        </is>
      </c>
      <c r="E119" s="227" t="n"/>
      <c r="F119" s="253">
        <f>-IF($E$121+F118*F126&gt;0,$E$121*F126,0)</f>
        <v/>
      </c>
      <c r="G119" s="253">
        <f>-IF($E$121+G118*G126&gt;0,$E$121*G126,0)</f>
        <v/>
      </c>
      <c r="H119" s="253">
        <f>-IF($E$121+H118*H126&gt;0,$E$121*H126,0)</f>
        <v/>
      </c>
      <c r="I119" s="253">
        <f>-IF($E$121+I118*I126&gt;0,$E$121*I126,0)</f>
        <v/>
      </c>
      <c r="J119" s="253">
        <f>-IF($E$121+J118*J126&gt;0,$E$121*J126,0)</f>
        <v/>
      </c>
    </row>
    <row r="120" ht="12.75" customHeight="1" s="148">
      <c r="B120" s="213" t="inlineStr">
        <is>
          <t>Paydown</t>
        </is>
      </c>
      <c r="E120" s="227" t="n"/>
      <c r="F120" s="227">
        <f>+-MIN(SUM(F118:F119),MAX(F101,0))</f>
        <v/>
      </c>
      <c r="G120" s="227">
        <f>+-MIN(SUM(G118:G119),MAX(G101,0))</f>
        <v/>
      </c>
      <c r="H120" s="227">
        <f>+-MIN(SUM(H118:H119),MAX(H101,0))</f>
        <v/>
      </c>
      <c r="I120" s="227">
        <f>+-MIN(SUM(I118:I119),MAX(I101,0))</f>
        <v/>
      </c>
      <c r="J120" s="227">
        <f>+-MIN(SUM(J118:J119),MAX(J101,0))</f>
        <v/>
      </c>
    </row>
    <row r="121" ht="12.75" customHeight="1" s="148">
      <c r="B121" s="233" t="inlineStr">
        <is>
          <t>End</t>
        </is>
      </c>
      <c r="C121" s="233" t="n"/>
      <c r="D121" s="233" t="n"/>
      <c r="E121" s="252">
        <f>+E11</f>
        <v/>
      </c>
      <c r="F121" s="234">
        <f>SUM(F118:F120)</f>
        <v/>
      </c>
      <c r="G121" s="234">
        <f>SUM(G118:G120)</f>
        <v/>
      </c>
      <c r="H121" s="234">
        <f>SUM(H118:H120)</f>
        <v/>
      </c>
      <c r="I121" s="234">
        <f>SUM(I118:I120)</f>
        <v/>
      </c>
      <c r="J121" s="234">
        <f>SUM(J118:J120)</f>
        <v/>
      </c>
    </row>
    <row r="122" ht="12.75" customHeight="1" s="148">
      <c r="E122" s="227" t="n"/>
      <c r="F122" s="227" t="n"/>
      <c r="G122" s="227" t="n"/>
      <c r="H122" s="227" t="n"/>
      <c r="I122" s="227" t="n"/>
      <c r="J122" s="227" t="n"/>
    </row>
    <row r="123" ht="12.75" customHeight="1" s="148">
      <c r="B123" s="213" t="inlineStr">
        <is>
          <t>Avg</t>
        </is>
      </c>
      <c r="E123" s="227" t="n"/>
      <c r="F123" s="227">
        <f>+E121</f>
        <v/>
      </c>
      <c r="G123" s="227">
        <f>+F121</f>
        <v/>
      </c>
      <c r="H123" s="227">
        <f>+G121</f>
        <v/>
      </c>
      <c r="I123" s="227">
        <f>+H121</f>
        <v/>
      </c>
      <c r="J123" s="227">
        <f>+I121</f>
        <v/>
      </c>
    </row>
    <row r="124" ht="12.75" customHeight="1" s="148">
      <c r="B124" s="213" t="inlineStr">
        <is>
          <t>Interest Rate</t>
        </is>
      </c>
      <c r="F124" s="221" t="n">
        <v>0.0905</v>
      </c>
      <c r="G124" s="244">
        <f>+F124</f>
        <v/>
      </c>
      <c r="H124" s="244">
        <f>+G124</f>
        <v/>
      </c>
      <c r="I124" s="244">
        <f>+H124</f>
        <v/>
      </c>
      <c r="J124" s="244">
        <f>+I124</f>
        <v/>
      </c>
    </row>
    <row r="125" ht="12.75" customHeight="1" s="148">
      <c r="B125" s="213" t="inlineStr">
        <is>
          <t>Int Expense</t>
        </is>
      </c>
      <c r="E125" s="227" t="n"/>
      <c r="F125" s="227">
        <f>+-F123*F124</f>
        <v/>
      </c>
      <c r="G125" s="227">
        <f>+-G123*G124</f>
        <v/>
      </c>
      <c r="H125" s="227">
        <f>+-H123*H124</f>
        <v/>
      </c>
      <c r="I125" s="227">
        <f>+-I123*I124</f>
        <v/>
      </c>
      <c r="J125" s="227">
        <f>+-J123*J124</f>
        <v/>
      </c>
    </row>
    <row r="126" ht="12.75" customHeight="1" s="148">
      <c r="B126" s="213" t="inlineStr">
        <is>
          <t>Mand. Amort</t>
        </is>
      </c>
      <c r="F126" s="221" t="n">
        <v>0.01</v>
      </c>
      <c r="G126" s="244">
        <f>+F126</f>
        <v/>
      </c>
      <c r="H126" s="244">
        <f>+G126</f>
        <v/>
      </c>
      <c r="I126" s="244">
        <f>+H126</f>
        <v/>
      </c>
      <c r="J126" s="244">
        <f>+I126</f>
        <v/>
      </c>
    </row>
    <row r="128" ht="12.75" customHeight="1" s="148">
      <c r="B128" s="245" t="inlineStr">
        <is>
          <t>Mezz Loan</t>
        </is>
      </c>
    </row>
    <row r="129" ht="12.75" customHeight="1" s="148">
      <c r="B129" s="213" t="inlineStr">
        <is>
          <t>Beg</t>
        </is>
      </c>
      <c r="E129" s="227" t="n"/>
      <c r="F129" s="227">
        <f>+E132</f>
        <v/>
      </c>
      <c r="G129" s="227">
        <f>+F132</f>
        <v/>
      </c>
      <c r="H129" s="227">
        <f>+G132</f>
        <v/>
      </c>
      <c r="I129" s="227">
        <f>+H132</f>
        <v/>
      </c>
      <c r="J129" s="227">
        <f>+I132</f>
        <v/>
      </c>
    </row>
    <row r="130" ht="12.75" customHeight="1" s="148">
      <c r="B130" s="213" t="inlineStr">
        <is>
          <t>Accretion</t>
        </is>
      </c>
      <c r="E130" s="227" t="n"/>
      <c r="F130" s="227">
        <f>+-F139</f>
        <v/>
      </c>
      <c r="G130" s="227">
        <f>+-G139</f>
        <v/>
      </c>
      <c r="H130" s="227">
        <f>+-H139</f>
        <v/>
      </c>
      <c r="I130" s="227">
        <f>+-I139</f>
        <v/>
      </c>
      <c r="J130" s="227">
        <f>+-J139</f>
        <v/>
      </c>
    </row>
    <row r="131" ht="12.75" customHeight="1" s="148">
      <c r="B131" s="213" t="inlineStr">
        <is>
          <t>Paydown</t>
        </is>
      </c>
      <c r="E131" s="227" t="n"/>
      <c r="F131" s="227">
        <f>+IF(F103&gt;0,-MIN(SUM(F129:F130),F103),0)</f>
        <v/>
      </c>
      <c r="G131" s="227">
        <f>+IF(G103&gt;0,-MIN(SUM(G129:G130),G103),0)</f>
        <v/>
      </c>
      <c r="H131" s="227">
        <f>+IF(H103&gt;0,-MIN(SUM(H129:H130),H103),0)</f>
        <v/>
      </c>
      <c r="I131" s="227">
        <f>+IF(I103&gt;0,-MIN(SUM(I129:I130),I103),0)</f>
        <v/>
      </c>
      <c r="J131" s="227">
        <f>+IF(J103&gt;0,-MIN(SUM(J129:J130),J103),0)</f>
        <v/>
      </c>
    </row>
    <row r="132" ht="12.75" customHeight="1" s="148">
      <c r="B132" s="233" t="inlineStr">
        <is>
          <t>End</t>
        </is>
      </c>
      <c r="C132" s="233" t="n"/>
      <c r="D132" s="233" t="n"/>
      <c r="E132" s="252">
        <f>+E12</f>
        <v/>
      </c>
      <c r="F132" s="234">
        <f>SUM(F129:F131)</f>
        <v/>
      </c>
      <c r="G132" s="234">
        <f>SUM(G129:G131)</f>
        <v/>
      </c>
      <c r="H132" s="234">
        <f>SUM(H129:H131)</f>
        <v/>
      </c>
      <c r="I132" s="234">
        <f>SUM(I129:I131)</f>
        <v/>
      </c>
      <c r="J132" s="234">
        <f>SUM(J129:J131)</f>
        <v/>
      </c>
    </row>
    <row r="133" ht="12.75" customHeight="1" s="148">
      <c r="E133" s="227" t="n"/>
      <c r="F133" s="227" t="n"/>
      <c r="G133" s="227" t="n"/>
      <c r="H133" s="227" t="n"/>
      <c r="I133" s="227" t="n"/>
      <c r="J133" s="227" t="n"/>
    </row>
    <row r="134" ht="12.75" customHeight="1" s="148">
      <c r="B134" s="213" t="inlineStr">
        <is>
          <t>Avg</t>
        </is>
      </c>
      <c r="E134" s="227" t="n"/>
      <c r="F134" s="227">
        <f>+E132</f>
        <v/>
      </c>
      <c r="G134" s="227">
        <f>+F132</f>
        <v/>
      </c>
      <c r="H134" s="227">
        <f>+G132</f>
        <v/>
      </c>
      <c r="I134" s="227">
        <f>+H132</f>
        <v/>
      </c>
      <c r="J134" s="227">
        <f>+I132</f>
        <v/>
      </c>
    </row>
    <row r="135" ht="12.75" customHeight="1" s="148">
      <c r="B135" s="213" t="inlineStr">
        <is>
          <t>Interest Rate</t>
        </is>
      </c>
      <c r="F135" s="221" t="n">
        <v>0</v>
      </c>
      <c r="G135" s="244">
        <f>+F135</f>
        <v/>
      </c>
      <c r="H135" s="244">
        <f>+G135</f>
        <v/>
      </c>
      <c r="I135" s="244">
        <f>+H135</f>
        <v/>
      </c>
      <c r="J135" s="244">
        <f>+I135</f>
        <v/>
      </c>
    </row>
    <row r="136" ht="12.75" customHeight="1" s="148">
      <c r="B136" s="213" t="inlineStr">
        <is>
          <t>Int Expense</t>
        </is>
      </c>
      <c r="E136" s="227" t="n"/>
      <c r="F136" s="227">
        <f>+-F134*F135</f>
        <v/>
      </c>
      <c r="G136" s="227">
        <f>+-G134*G135</f>
        <v/>
      </c>
      <c r="H136" s="227">
        <f>+-H134*H135</f>
        <v/>
      </c>
      <c r="I136" s="227">
        <f>+-I134*I135</f>
        <v/>
      </c>
      <c r="J136" s="227">
        <f>+-J134*J135</f>
        <v/>
      </c>
    </row>
    <row r="138" ht="12.75" customHeight="1" s="148">
      <c r="B138" s="213" t="inlineStr">
        <is>
          <t>PIK Rate</t>
        </is>
      </c>
      <c r="F138" s="221" t="n">
        <v>0</v>
      </c>
      <c r="G138" s="244">
        <f>+F138</f>
        <v/>
      </c>
      <c r="H138" s="244">
        <f>+G138</f>
        <v/>
      </c>
      <c r="I138" s="244">
        <f>+H138</f>
        <v/>
      </c>
      <c r="J138" s="244">
        <f>+I138</f>
        <v/>
      </c>
    </row>
    <row r="139" ht="12.75" customHeight="1" s="148">
      <c r="B139" s="213" t="inlineStr">
        <is>
          <t>PIK Expense</t>
        </is>
      </c>
      <c r="E139" s="227" t="n"/>
      <c r="F139" s="227">
        <f>+E132*-F138</f>
        <v/>
      </c>
      <c r="G139" s="227">
        <f>+F132*-G138</f>
        <v/>
      </c>
      <c r="H139" s="227">
        <f>+G132*-H138</f>
        <v/>
      </c>
      <c r="I139" s="227">
        <f>+H132*-I138</f>
        <v/>
      </c>
      <c r="J139" s="227">
        <f>+I132*-J138</f>
        <v/>
      </c>
    </row>
    <row r="140" ht="12.75" customHeight="1" s="148">
      <c r="E140" s="227" t="n"/>
      <c r="F140" s="227" t="n"/>
      <c r="G140" s="227" t="n"/>
      <c r="H140" s="227" t="n"/>
      <c r="I140" s="227" t="n"/>
      <c r="J140" s="227" t="n"/>
    </row>
    <row r="141" ht="12.75" customHeight="1" s="148">
      <c r="B141" s="245" t="inlineStr">
        <is>
          <t>Cash</t>
        </is>
      </c>
      <c r="E141" s="227" t="n"/>
      <c r="F141" s="227" t="n"/>
      <c r="G141" s="227" t="n"/>
      <c r="H141" s="227" t="n"/>
      <c r="I141" s="227" t="n"/>
      <c r="J141" s="227" t="n"/>
    </row>
    <row r="142" ht="12.75" customHeight="1" s="148">
      <c r="B142" s="213" t="inlineStr">
        <is>
          <t>Beg</t>
        </is>
      </c>
      <c r="E142" s="227" t="n"/>
      <c r="F142" s="227">
        <f>+E144</f>
        <v/>
      </c>
      <c r="G142" s="227">
        <f>+F144</f>
        <v/>
      </c>
      <c r="H142" s="227">
        <f>+G144</f>
        <v/>
      </c>
      <c r="I142" s="227">
        <f>+H144</f>
        <v/>
      </c>
      <c r="J142" s="227">
        <f>+I144</f>
        <v/>
      </c>
    </row>
    <row r="143" ht="12.75" customHeight="1" s="148">
      <c r="B143" s="213" t="inlineStr">
        <is>
          <t>Change</t>
        </is>
      </c>
      <c r="E143" s="227" t="n"/>
      <c r="F143" s="227">
        <f>+F92</f>
        <v/>
      </c>
      <c r="G143" s="227">
        <f>+G92</f>
        <v/>
      </c>
      <c r="H143" s="227">
        <f>+H92</f>
        <v/>
      </c>
      <c r="I143" s="227">
        <f>+I92</f>
        <v/>
      </c>
      <c r="J143" s="227">
        <f>+J92</f>
        <v/>
      </c>
    </row>
    <row r="144" ht="12.75" customHeight="1" s="148">
      <c r="B144" s="233" t="inlineStr">
        <is>
          <t>End</t>
        </is>
      </c>
      <c r="C144" s="233" t="n"/>
      <c r="D144" s="233" t="n"/>
      <c r="E144" s="252" t="n">
        <v>0</v>
      </c>
      <c r="F144" s="234">
        <f>SUM(F142:F143)</f>
        <v/>
      </c>
      <c r="G144" s="234">
        <f>SUM(G142:G143)</f>
        <v/>
      </c>
      <c r="H144" s="234">
        <f>SUM(H142:H143)</f>
        <v/>
      </c>
      <c r="I144" s="234">
        <f>SUM(I142:I143)</f>
        <v/>
      </c>
      <c r="J144" s="234">
        <f>SUM(J142:J143)</f>
        <v/>
      </c>
    </row>
    <row r="145" ht="12.75" customHeight="1" s="148">
      <c r="E145" s="227" t="n"/>
      <c r="F145" s="227" t="n"/>
      <c r="G145" s="227" t="n"/>
      <c r="H145" s="227" t="n"/>
      <c r="I145" s="227" t="n"/>
      <c r="J145" s="227" t="n"/>
    </row>
    <row r="146" ht="12.75" customHeight="1" s="148">
      <c r="B146" s="213" t="inlineStr">
        <is>
          <t>Avg</t>
        </is>
      </c>
      <c r="E146" s="227" t="n"/>
      <c r="F146" s="227">
        <f>+E144</f>
        <v/>
      </c>
      <c r="G146" s="227">
        <f>+F144</f>
        <v/>
      </c>
      <c r="H146" s="227">
        <f>+G144</f>
        <v/>
      </c>
      <c r="I146" s="227">
        <f>+H144</f>
        <v/>
      </c>
      <c r="J146" s="227">
        <f>+I144</f>
        <v/>
      </c>
    </row>
    <row r="147" ht="12.75" customHeight="1" s="148">
      <c r="B147" s="213" t="inlineStr">
        <is>
          <t>Interest Rate</t>
        </is>
      </c>
      <c r="F147" s="221" t="n">
        <v>0.04</v>
      </c>
      <c r="G147" s="244">
        <f>+F147</f>
        <v/>
      </c>
      <c r="H147" s="244">
        <f>+G147</f>
        <v/>
      </c>
      <c r="I147" s="244">
        <f>+H147</f>
        <v/>
      </c>
      <c r="J147" s="244">
        <f>+I147</f>
        <v/>
      </c>
    </row>
    <row r="148" ht="12.75" customHeight="1" s="148">
      <c r="B148" s="213" t="inlineStr">
        <is>
          <t>Int Income</t>
        </is>
      </c>
      <c r="E148" s="227" t="n"/>
      <c r="F148" s="227">
        <f>+F146*F147</f>
        <v/>
      </c>
      <c r="G148" s="227">
        <f>+G146*G147</f>
        <v/>
      </c>
      <c r="H148" s="227">
        <f>+H146*H147</f>
        <v/>
      </c>
      <c r="I148" s="227">
        <f>+I146*I147</f>
        <v/>
      </c>
      <c r="J148" s="227">
        <f>+J146*J147</f>
        <v/>
      </c>
    </row>
    <row r="149" ht="12.75" customHeight="1" s="148">
      <c r="E149" s="227" t="n"/>
      <c r="F149" s="227" t="n"/>
      <c r="G149" s="227" t="n"/>
      <c r="H149" s="227" t="n"/>
      <c r="I149" s="227" t="n"/>
      <c r="J149" s="227" t="n"/>
    </row>
    <row r="150" ht="12.75" customHeight="1" s="148">
      <c r="B150" s="213" t="inlineStr">
        <is>
          <t>Total Interest Expense</t>
        </is>
      </c>
      <c r="E150" s="227" t="n"/>
      <c r="F150" s="227">
        <f>+F115+F125+F136+F139</f>
        <v/>
      </c>
      <c r="G150" s="227">
        <f>+G115+G125+G136+G139</f>
        <v/>
      </c>
      <c r="H150" s="227">
        <f>+H115+H125+H136+H139</f>
        <v/>
      </c>
      <c r="I150" s="227">
        <f>+I115+I125+I136+I139</f>
        <v/>
      </c>
      <c r="J150" s="227">
        <f>+J115+J125+J136+J139</f>
        <v/>
      </c>
    </row>
    <row r="151" ht="12.75" customHeight="1" s="148">
      <c r="F151" s="254" t="n"/>
      <c r="G151" s="254" t="n"/>
      <c r="H151" s="254" t="n"/>
      <c r="I151" s="254" t="n"/>
      <c r="J151" s="254" t="n"/>
    </row>
    <row r="152" ht="12.75" customHeight="1" s="148">
      <c r="A152" s="213" t="inlineStr">
        <is>
          <t>x</t>
        </is>
      </c>
      <c r="B152" s="237" t="inlineStr">
        <is>
          <t>Returns</t>
        </is>
      </c>
      <c r="C152" s="237" t="n"/>
      <c r="D152" s="237" t="n"/>
      <c r="E152" s="237" t="n">
        <v>2013</v>
      </c>
      <c r="F152" s="237">
        <f>E152+1</f>
        <v/>
      </c>
      <c r="G152" s="237">
        <f>F152+1</f>
        <v/>
      </c>
      <c r="H152" s="237">
        <f>G152+1</f>
        <v/>
      </c>
      <c r="I152" s="237">
        <f>H152+1</f>
        <v/>
      </c>
      <c r="J152" s="237">
        <f>I152+1</f>
        <v/>
      </c>
    </row>
    <row r="153" ht="12.75" customHeight="1" s="148">
      <c r="B153" s="213" t="inlineStr">
        <is>
          <t>EBITDA</t>
        </is>
      </c>
      <c r="E153" s="227" t="n"/>
      <c r="F153" s="227">
        <f>+F31</f>
        <v/>
      </c>
      <c r="G153" s="227">
        <f>+G31</f>
        <v/>
      </c>
      <c r="H153" s="227">
        <f>+H31</f>
        <v/>
      </c>
      <c r="I153" s="227">
        <f>+I31</f>
        <v/>
      </c>
      <c r="J153" s="227">
        <f>+J31</f>
        <v/>
      </c>
    </row>
    <row r="154" ht="12.75" customHeight="1" s="148">
      <c r="B154" s="213" t="inlineStr">
        <is>
          <t>Exit Multiple</t>
        </is>
      </c>
      <c r="F154" s="255">
        <f>+$E$4</f>
        <v/>
      </c>
      <c r="G154" s="255">
        <f>+$E$4</f>
        <v/>
      </c>
      <c r="H154" s="255">
        <f>+$E$4</f>
        <v/>
      </c>
      <c r="I154" s="255">
        <f>+$E$4</f>
        <v/>
      </c>
      <c r="J154" s="255">
        <f>+$E$4</f>
        <v/>
      </c>
    </row>
    <row r="155" ht="12.75" customHeight="1" s="148">
      <c r="B155" s="233" t="inlineStr">
        <is>
          <t>TEV</t>
        </is>
      </c>
      <c r="C155" s="233" t="n"/>
      <c r="D155" s="233" t="n"/>
      <c r="E155" s="234" t="n"/>
      <c r="F155" s="234">
        <f>+F153*F154</f>
        <v/>
      </c>
      <c r="G155" s="234">
        <f>+G153*G154</f>
        <v/>
      </c>
      <c r="H155" s="234">
        <f>+H153*H154</f>
        <v/>
      </c>
      <c r="I155" s="234">
        <f>+I153*I154</f>
        <v/>
      </c>
      <c r="J155" s="234">
        <f>+J153*J154</f>
        <v/>
      </c>
    </row>
    <row r="156" ht="12.75" customHeight="1" s="148">
      <c r="B156" s="213" t="inlineStr">
        <is>
          <t>(-) Net Debt</t>
        </is>
      </c>
      <c r="E156" s="227" t="n"/>
      <c r="F156" s="227">
        <f>+-F67+F62</f>
        <v/>
      </c>
      <c r="G156" s="227">
        <f>+-G67+G62</f>
        <v/>
      </c>
      <c r="H156" s="227">
        <f>+-H67+H62</f>
        <v/>
      </c>
      <c r="I156" s="227">
        <f>+-I67+I62</f>
        <v/>
      </c>
      <c r="J156" s="227">
        <f>+-J67+J62</f>
        <v/>
      </c>
    </row>
    <row r="157" ht="12.75" customHeight="1" s="148">
      <c r="B157" s="233" t="inlineStr">
        <is>
          <t>Total Equity Value</t>
        </is>
      </c>
      <c r="C157" s="233" t="n"/>
      <c r="D157" s="233" t="n"/>
      <c r="E157" s="234" t="n"/>
      <c r="F157" s="234">
        <f>+SUM(F155:F156)</f>
        <v/>
      </c>
      <c r="G157" s="234">
        <f>+SUM(G155:G156)</f>
        <v/>
      </c>
      <c r="H157" s="234">
        <f>+SUM(H155:H156)</f>
        <v/>
      </c>
      <c r="I157" s="234">
        <f>+SUM(I155:I156)</f>
        <v/>
      </c>
      <c r="J157" s="234">
        <f>+SUM(J155:J156)</f>
        <v/>
      </c>
    </row>
    <row r="158" ht="12.75" customHeight="1" s="148">
      <c r="B158" s="213" t="inlineStr">
        <is>
          <t>(-) Roll</t>
        </is>
      </c>
      <c r="E158" s="227" t="n"/>
      <c r="F158" s="227">
        <f>+-F157*$K$158</f>
        <v/>
      </c>
      <c r="G158" s="227">
        <f>+-G157*$K$158</f>
        <v/>
      </c>
      <c r="H158" s="227">
        <f>+-H157*$K$158</f>
        <v/>
      </c>
      <c r="I158" s="227">
        <f>+-I157*$K$158</f>
        <v/>
      </c>
      <c r="J158" s="227">
        <f>+-J157*$K$158</f>
        <v/>
      </c>
      <c r="K158" s="256">
        <f>E13/SUM(E13:E14)</f>
        <v/>
      </c>
    </row>
    <row r="159" ht="12.75" customHeight="1" s="148">
      <c r="B159" s="233" t="inlineStr">
        <is>
          <t>Sponsor Equity Value</t>
        </is>
      </c>
      <c r="C159" s="233" t="n"/>
      <c r="D159" s="233" t="n"/>
      <c r="E159" s="234" t="n"/>
      <c r="F159" s="234">
        <f>SUM(F157:F158)</f>
        <v/>
      </c>
      <c r="G159" s="234">
        <f>SUM(G157:G158)</f>
        <v/>
      </c>
      <c r="H159" s="234">
        <f>SUM(H157:H158)</f>
        <v/>
      </c>
      <c r="I159" s="234">
        <f>SUM(I157:I158)</f>
        <v/>
      </c>
      <c r="J159" s="234">
        <f>SUM(J157:J158)</f>
        <v/>
      </c>
    </row>
    <row r="160" ht="12.75" customHeight="1" s="148">
      <c r="E160" s="227" t="n"/>
      <c r="F160" s="227" t="n"/>
      <c r="G160" s="227" t="n"/>
      <c r="H160" s="227" t="n"/>
      <c r="I160" s="227" t="n"/>
      <c r="J160" s="227" t="n"/>
    </row>
    <row r="161" ht="12.75" customHeight="1" s="148">
      <c r="B161" s="257" t="n">
        <v>45530</v>
      </c>
      <c r="E161" s="227" t="n"/>
      <c r="F161" s="227">
        <f>+-$E$14</f>
        <v/>
      </c>
      <c r="G161" s="227">
        <f>+-$E$14</f>
        <v/>
      </c>
      <c r="H161" s="227">
        <f>+-$E$14</f>
        <v/>
      </c>
      <c r="I161" s="227">
        <f>+-$E$14</f>
        <v/>
      </c>
      <c r="J161" s="227">
        <f>+-$E$14</f>
        <v/>
      </c>
    </row>
    <row r="162" ht="12.75" customHeight="1" s="148">
      <c r="B162" s="258">
        <f>DATE(YEAR(B161)+1,MONTH(B161),DAY(B161))</f>
        <v/>
      </c>
      <c r="E162" s="227" t="n"/>
      <c r="F162" s="227">
        <f>+F159</f>
        <v/>
      </c>
      <c r="G162" s="227" t="n"/>
      <c r="H162" s="227" t="n"/>
      <c r="I162" s="227" t="n"/>
      <c r="J162" s="227" t="n"/>
    </row>
    <row r="163" ht="12.75" customHeight="1" s="148">
      <c r="B163" s="258">
        <f>DATE(YEAR(B162)+1,MONTH(B162),DAY(B162))</f>
        <v/>
      </c>
      <c r="E163" s="227" t="n"/>
      <c r="F163" s="227" t="n"/>
      <c r="G163" s="227">
        <f>+G159</f>
        <v/>
      </c>
      <c r="H163" s="227" t="n"/>
      <c r="I163" s="227" t="n"/>
      <c r="J163" s="227" t="n"/>
    </row>
    <row r="164" ht="12.75" customHeight="1" s="148">
      <c r="B164" s="258">
        <f>DATE(YEAR(B163)+1,MONTH(B163),DAY(B163))</f>
        <v/>
      </c>
      <c r="E164" s="227" t="n"/>
      <c r="F164" s="227" t="n"/>
      <c r="G164" s="227" t="n"/>
      <c r="H164" s="227">
        <f>+H159</f>
        <v/>
      </c>
      <c r="I164" s="227" t="n"/>
      <c r="J164" s="227" t="n"/>
    </row>
    <row r="165" ht="12.75" customHeight="1" s="148">
      <c r="B165" s="258">
        <f>DATE(YEAR(B164)+1,MONTH(B164),DAY(B164))</f>
        <v/>
      </c>
      <c r="E165" s="227" t="n"/>
      <c r="F165" s="227" t="n"/>
      <c r="G165" s="227" t="n"/>
      <c r="H165" s="227" t="n"/>
      <c r="I165" s="227">
        <f>+I159</f>
        <v/>
      </c>
      <c r="J165" s="227" t="n"/>
    </row>
    <row r="166" ht="12.75" customHeight="1" s="148">
      <c r="B166" s="258">
        <f>DATE(YEAR(B165)+1,MONTH(B165),DAY(B165))</f>
        <v/>
      </c>
      <c r="E166" s="227" t="n"/>
      <c r="F166" s="227" t="n"/>
      <c r="G166" s="227" t="n"/>
      <c r="H166" s="227" t="n"/>
      <c r="I166" s="227" t="n"/>
      <c r="J166" s="227">
        <f>+J159</f>
        <v/>
      </c>
    </row>
    <row r="167" ht="12.75" customHeight="1" s="148">
      <c r="B167" s="233" t="inlineStr">
        <is>
          <t>IRR</t>
        </is>
      </c>
      <c r="C167" s="233" t="n"/>
      <c r="D167" s="233" t="n"/>
      <c r="E167" s="233" t="n"/>
      <c r="F167" s="259">
        <f>IFERROR(XIRR(F161:F166,$B$161:$B$166),"n/m")</f>
        <v/>
      </c>
      <c r="G167" s="259">
        <f>IFERROR(XIRR(G161:G166,$B$161:$B$166),"n/m")</f>
        <v/>
      </c>
      <c r="H167" s="259">
        <f>IFERROR(XIRR(H161:H166,$B$161:$B$166),"n/m")</f>
        <v/>
      </c>
      <c r="I167" s="259">
        <f>IFERROR(XIRR(I161:I166,$B$161:$B$166),"n/m")</f>
        <v/>
      </c>
      <c r="J167" s="259">
        <f>IFERROR(XIRR(J161:J166,$B$161:$B$166),"n/m")</f>
        <v/>
      </c>
    </row>
    <row r="168" ht="12.75" customHeight="1" s="148">
      <c r="B168" s="213" t="inlineStr">
        <is>
          <t>Money Multiple</t>
        </is>
      </c>
      <c r="F168" s="255">
        <f>+F162/F161*-1</f>
        <v/>
      </c>
      <c r="G168" s="255">
        <f>+G163/G161*-1</f>
        <v/>
      </c>
      <c r="H168" s="255">
        <f>+H164/H161*-1</f>
        <v/>
      </c>
      <c r="I168" s="255">
        <f>+I165/I161*-1</f>
        <v/>
      </c>
      <c r="J168" s="255">
        <f>+J166/J161*-1</f>
        <v/>
      </c>
    </row>
    <row r="169" ht="12.75" customHeight="1" s="148">
      <c r="F169" s="254" t="n"/>
      <c r="G169" s="254" t="n"/>
      <c r="H169" s="254" t="n"/>
      <c r="I169" s="254" t="n"/>
      <c r="J169" s="254" t="n"/>
    </row>
    <row r="170" ht="12.75" customHeight="1" s="148">
      <c r="A170" s="213" t="inlineStr">
        <is>
          <t>q</t>
        </is>
      </c>
      <c r="B170" s="237" t="inlineStr">
        <is>
          <t>Sensitivity</t>
        </is>
      </c>
      <c r="C170" s="237" t="n"/>
      <c r="D170" s="237" t="n"/>
      <c r="E170" s="237" t="n"/>
      <c r="F170" s="237" t="n"/>
      <c r="G170" s="237" t="n"/>
      <c r="H170" s="237" t="n"/>
      <c r="I170" s="237" t="n"/>
      <c r="J170" s="237" t="n"/>
    </row>
    <row r="171" ht="12.75" customHeight="1" s="148">
      <c r="F171" s="254" t="n"/>
      <c r="G171" s="254" t="n"/>
      <c r="H171" s="254" t="n"/>
      <c r="I171" s="254" t="n"/>
      <c r="J171" s="254" t="n"/>
    </row>
    <row r="172" ht="12.75" customHeight="1" s="148">
      <c r="C172" s="213" t="inlineStr">
        <is>
          <t>IRR: entry multiple (down) vs exit multiple (across). Closed form on year-5 EBITDA, holding year-5 net debt and rollover constant.</t>
        </is>
      </c>
      <c r="D172" s="260" t="inlineStr">
        <is>
          <t>Exit Multiple</t>
        </is>
      </c>
      <c r="J172" s="254" t="n"/>
    </row>
    <row r="173" ht="12.75" customHeight="1" s="148">
      <c r="C173" s="261">
        <f>+J167</f>
        <v/>
      </c>
      <c r="D173" s="262" t="n">
        <v>9</v>
      </c>
      <c r="E173" s="262">
        <f>D173+1</f>
        <v/>
      </c>
      <c r="F173" s="262">
        <f>E173+1</f>
        <v/>
      </c>
      <c r="G173" s="262">
        <f>F173+1</f>
        <v/>
      </c>
      <c r="H173" s="262">
        <f>G173+1</f>
        <v/>
      </c>
      <c r="J173" s="254" t="n"/>
    </row>
    <row r="174" ht="12.75" customHeight="1" s="148">
      <c r="C174" s="248" t="n">
        <v>10</v>
      </c>
      <c r="D174" s="263">
        <f>IFERROR(((($J$153*D$173+$J$156)*(1-$K$158))/($E$14+(($C174-$E$3)*$E$5)))^(1/5)-1,"n/m")</f>
        <v/>
      </c>
      <c r="E174" s="259">
        <f>IFERROR(((($J$153*E$173+$J$156)*(1-$K$158))/($E$14+(($C174-$E$3)*$E$5)))^(1/5)-1,"n/m")</f>
        <v/>
      </c>
      <c r="F174" s="259">
        <f>IFERROR(((($J$153*F$173+$J$156)*(1-$K$158))/($E$14+(($C174-$E$3)*$E$5)))^(1/5)-1,"n/m")</f>
        <v/>
      </c>
      <c r="G174" s="259">
        <f>IFERROR(((($J$153*G$173+$J$156)*(1-$K$158))/($E$14+(($C174-$E$3)*$E$5)))^(1/5)-1,"n/m")</f>
        <v/>
      </c>
      <c r="H174" s="264">
        <f>IFERROR(((($J$153*H$173+$J$156)*(1-$K$158))/($E$14+(($C174-$E$3)*$E$5)))^(1/5)-1,"n/m")</f>
        <v/>
      </c>
    </row>
    <row r="175" ht="12.75" customHeight="1" s="148">
      <c r="B175" s="213" t="inlineStr">
        <is>
          <t>Entry</t>
        </is>
      </c>
      <c r="C175" s="248" t="n">
        <v>11</v>
      </c>
      <c r="D175" s="265">
        <f>IFERROR(((($J$153*D$173+$J$156)*(1-$K$158))/($E$14+(($C175-$E$3)*$E$5)))^(1/5)-1,"n/m")</f>
        <v/>
      </c>
      <c r="E175" s="266">
        <f>IFERROR(((($J$153*E$173+$J$156)*(1-$K$158))/($E$14+(($C175-$E$3)*$E$5)))^(1/5)-1,"n/m")</f>
        <v/>
      </c>
      <c r="F175" s="266">
        <f>IFERROR(((($J$153*F$173+$J$156)*(1-$K$158))/($E$14+(($C175-$E$3)*$E$5)))^(1/5)-1,"n/m")</f>
        <v/>
      </c>
      <c r="G175" s="266">
        <f>IFERROR(((($J$153*G$173+$J$156)*(1-$K$158))/($E$14+(($C175-$E$3)*$E$5)))^(1/5)-1,"n/m")</f>
        <v/>
      </c>
      <c r="H175" s="267">
        <f>IFERROR(((($J$153*H$173+$J$156)*(1-$K$158))/($E$14+(($C175-$E$3)*$E$5)))^(1/5)-1,"n/m")</f>
        <v/>
      </c>
    </row>
    <row r="176" ht="12.75" customHeight="1" s="148">
      <c r="B176" s="213" t="inlineStr">
        <is>
          <t>Multiple</t>
        </is>
      </c>
      <c r="C176" s="248" t="n">
        <v>12</v>
      </c>
      <c r="D176" s="265">
        <f>IFERROR(((($J$153*D$173+$J$156)*(1-$K$158))/($E$14+(($C176-$E$3)*$E$5)))^(1/5)-1,"n/m")</f>
        <v/>
      </c>
      <c r="E176" s="266">
        <f>IFERROR(((($J$153*E$173+$J$156)*(1-$K$158))/($E$14+(($C176-$E$3)*$E$5)))^(1/5)-1,"n/m")</f>
        <v/>
      </c>
      <c r="F176" s="256">
        <f>IFERROR(((($J$153*F$173+$J$156)*(1-$K$158))/($E$14+(($C176-$E$3)*$E$5)))^(1/5)-1,"n/m")</f>
        <v/>
      </c>
      <c r="G176" s="266">
        <f>IFERROR(((($J$153*G$173+$J$156)*(1-$K$158))/($E$14+(($C176-$E$3)*$E$5)))^(1/5)-1,"n/m")</f>
        <v/>
      </c>
      <c r="H176" s="267">
        <f>IFERROR(((($J$153*H$173+$J$156)*(1-$K$158))/($E$14+(($C176-$E$3)*$E$5)))^(1/5)-1,"n/m")</f>
        <v/>
      </c>
    </row>
    <row r="177" ht="12.75" customHeight="1" s="148">
      <c r="C177" s="248" t="n">
        <v>13</v>
      </c>
      <c r="D177" s="265">
        <f>IFERROR(((($J$153*D$173+$J$156)*(1-$K$158))/($E$14+(($C177-$E$3)*$E$5)))^(1/5)-1,"n/m")</f>
        <v/>
      </c>
      <c r="E177" s="266">
        <f>IFERROR(((($J$153*E$173+$J$156)*(1-$K$158))/($E$14+(($C177-$E$3)*$E$5)))^(1/5)-1,"n/m")</f>
        <v/>
      </c>
      <c r="F177" s="266">
        <f>IFERROR(((($J$153*F$173+$J$156)*(1-$K$158))/($E$14+(($C177-$E$3)*$E$5)))^(1/5)-1,"n/m")</f>
        <v/>
      </c>
      <c r="G177" s="266">
        <f>IFERROR(((($J$153*G$173+$J$156)*(1-$K$158))/($E$14+(($C177-$E$3)*$E$5)))^(1/5)-1,"n/m")</f>
        <v/>
      </c>
      <c r="H177" s="267">
        <f>IFERROR(((($J$153*H$173+$J$156)*(1-$K$158))/($E$14+(($C177-$E$3)*$E$5)))^(1/5)-1,"n/m")</f>
        <v/>
      </c>
    </row>
    <row r="178" ht="12.75" customHeight="1" s="148">
      <c r="C178" s="248" t="n">
        <v>14</v>
      </c>
      <c r="D178" s="268">
        <f>IFERROR(((($J$153*D$173+$J$156)*(1-$K$158))/($E$14+(($C178-$E$3)*$E$5)))^(1/5)-1,"n/m")</f>
        <v/>
      </c>
      <c r="E178" s="269">
        <f>IFERROR(((($J$153*E$173+$J$156)*(1-$K$158))/($E$14+(($C178-$E$3)*$E$5)))^(1/5)-1,"n/m")</f>
        <v/>
      </c>
      <c r="F178" s="269">
        <f>IFERROR(((($J$153*F$173+$J$156)*(1-$K$158))/($E$14+(($C178-$E$3)*$E$5)))^(1/5)-1,"n/m")</f>
        <v/>
      </c>
      <c r="G178" s="269">
        <f>IFERROR(((($J$153*G$173+$J$156)*(1-$K$158))/($E$14+(($C178-$E$3)*$E$5)))^(1/5)-1,"n/m")</f>
        <v/>
      </c>
      <c r="H178" s="270">
        <f>IFERROR(((($J$153*H$173+$J$156)*(1-$K$158))/($E$14+(($C178-$E$3)*$E$5)))^(1/5)-1,"n/m")</f>
        <v/>
      </c>
    </row>
    <row r="180" ht="12.75" customHeight="1" s="148">
      <c r="C180" s="213" t="inlineStr">
        <is>
          <t>MoM: same axes and method.</t>
        </is>
      </c>
      <c r="D180" s="260" t="inlineStr">
        <is>
          <t>Exit Multiple</t>
        </is>
      </c>
    </row>
    <row r="181" ht="12.75" customHeight="1" s="148">
      <c r="C181" s="261">
        <f>+J168</f>
        <v/>
      </c>
      <c r="D181" s="271" t="n">
        <v>9</v>
      </c>
      <c r="E181" s="271">
        <f>D181+1</f>
        <v/>
      </c>
      <c r="F181" s="271">
        <f>E181+1</f>
        <v/>
      </c>
      <c r="G181" s="271">
        <f>F181+1</f>
        <v/>
      </c>
      <c r="H181" s="271">
        <f>G181+1</f>
        <v/>
      </c>
    </row>
    <row r="182" ht="12.75" customHeight="1" s="148">
      <c r="C182" s="248" t="n">
        <v>10</v>
      </c>
      <c r="D182" s="272">
        <f>IFERROR((($J$153*D$181+$J$156)*(1-$K$158))/($E$14+(($C182-$E$3)*$E$5)),"n/m")</f>
        <v/>
      </c>
      <c r="E182" s="273">
        <f>IFERROR((($J$153*E$181+$J$156)*(1-$K$158))/($E$14+(($C182-$E$3)*$E$5)),"n/m")</f>
        <v/>
      </c>
      <c r="F182" s="273">
        <f>IFERROR((($J$153*F$181+$J$156)*(1-$K$158))/($E$14+(($C182-$E$3)*$E$5)),"n/m")</f>
        <v/>
      </c>
      <c r="G182" s="273">
        <f>IFERROR((($J$153*G$181+$J$156)*(1-$K$158))/($E$14+(($C182-$E$3)*$E$5)),"n/m")</f>
        <v/>
      </c>
      <c r="H182" s="274">
        <f>IFERROR((($J$153*H$181+$J$156)*(1-$K$158))/($E$14+(($C182-$E$3)*$E$5)),"n/m")</f>
        <v/>
      </c>
    </row>
    <row r="183" ht="12.75" customHeight="1" s="148">
      <c r="B183" s="213" t="inlineStr">
        <is>
          <t>Entry</t>
        </is>
      </c>
      <c r="C183" s="248" t="n">
        <v>11</v>
      </c>
      <c r="D183" s="275">
        <f>IFERROR((($J$153*D$181+$J$156)*(1-$K$158))/($E$14+(($C183-$E$3)*$E$5)),"n/m")</f>
        <v/>
      </c>
      <c r="E183" s="276">
        <f>IFERROR((($J$153*E$181+$J$156)*(1-$K$158))/($E$14+(($C183-$E$3)*$E$5)),"n/m")</f>
        <v/>
      </c>
      <c r="F183" s="276">
        <f>IFERROR((($J$153*F$181+$J$156)*(1-$K$158))/($E$14+(($C183-$E$3)*$E$5)),"n/m")</f>
        <v/>
      </c>
      <c r="G183" s="276">
        <f>IFERROR((($J$153*G$181+$J$156)*(1-$K$158))/($E$14+(($C183-$E$3)*$E$5)),"n/m")</f>
        <v/>
      </c>
      <c r="H183" s="277">
        <f>IFERROR((($J$153*H$181+$J$156)*(1-$K$158))/($E$14+(($C183-$E$3)*$E$5)),"n/m")</f>
        <v/>
      </c>
    </row>
    <row r="184" ht="12.75" customHeight="1" s="148">
      <c r="B184" s="213" t="inlineStr">
        <is>
          <t>Multiple</t>
        </is>
      </c>
      <c r="C184" s="248" t="n">
        <v>12</v>
      </c>
      <c r="D184" s="275">
        <f>IFERROR((($J$153*D$181+$J$156)*(1-$K$158))/($E$14+(($C184-$E$3)*$E$5)),"n/m")</f>
        <v/>
      </c>
      <c r="E184" s="276">
        <f>IFERROR((($J$153*E$181+$J$156)*(1-$K$158))/($E$14+(($C184-$E$3)*$E$5)),"n/m")</f>
        <v/>
      </c>
      <c r="F184" s="278">
        <f>IFERROR((($J$153*F$181+$J$156)*(1-$K$158))/($E$14+(($C184-$E$3)*$E$5)),"n/m")</f>
        <v/>
      </c>
      <c r="G184" s="276">
        <f>IFERROR((($J$153*G$181+$J$156)*(1-$K$158))/($E$14+(($C184-$E$3)*$E$5)),"n/m")</f>
        <v/>
      </c>
      <c r="H184" s="277">
        <f>IFERROR((($J$153*H$181+$J$156)*(1-$K$158))/($E$14+(($C184-$E$3)*$E$5)),"n/m")</f>
        <v/>
      </c>
    </row>
    <row r="185" ht="12.75" customHeight="1" s="148">
      <c r="C185" s="248" t="n">
        <v>13</v>
      </c>
      <c r="D185" s="275">
        <f>IFERROR((($J$153*D$181+$J$156)*(1-$K$158))/($E$14+(($C185-$E$3)*$E$5)),"n/m")</f>
        <v/>
      </c>
      <c r="E185" s="276">
        <f>IFERROR((($J$153*E$181+$J$156)*(1-$K$158))/($E$14+(($C185-$E$3)*$E$5)),"n/m")</f>
        <v/>
      </c>
      <c r="F185" s="276">
        <f>IFERROR((($J$153*F$181+$J$156)*(1-$K$158))/($E$14+(($C185-$E$3)*$E$5)),"n/m")</f>
        <v/>
      </c>
      <c r="G185" s="276">
        <f>IFERROR((($J$153*G$181+$J$156)*(1-$K$158))/($E$14+(($C185-$E$3)*$E$5)),"n/m")</f>
        <v/>
      </c>
      <c r="H185" s="277">
        <f>IFERROR((($J$153*H$181+$J$156)*(1-$K$158))/($E$14+(($C185-$E$3)*$E$5)),"n/m")</f>
        <v/>
      </c>
    </row>
    <row r="186" ht="12.75" customHeight="1" s="148">
      <c r="C186" s="248" t="n">
        <v>14</v>
      </c>
      <c r="D186" s="279">
        <f>IFERROR((($J$153*D$181+$J$156)*(1-$K$158))/($E$14+(($C186-$E$3)*$E$5)),"n/m")</f>
        <v/>
      </c>
      <c r="E186" s="280">
        <f>IFERROR((($J$153*E$181+$J$156)*(1-$K$158))/($E$14+(($C186-$E$3)*$E$5)),"n/m")</f>
        <v/>
      </c>
      <c r="F186" s="280">
        <f>IFERROR((($J$153*F$181+$J$156)*(1-$K$158))/($E$14+(($C186-$E$3)*$E$5)),"n/m")</f>
        <v/>
      </c>
      <c r="G186" s="280">
        <f>IFERROR((($J$153*G$181+$J$156)*(1-$K$158))/($E$14+(($C186-$E$3)*$E$5)),"n/m")</f>
        <v/>
      </c>
      <c r="H186" s="281">
        <f>IFERROR((($J$153*H$181+$J$156)*(1-$K$158))/($E$14+(($C186-$E$3)*$E$5)),"n/m")</f>
        <v/>
      </c>
    </row>
    <row r="188" ht="12.75" customHeight="1" s="148">
      <c r="A188" s="213" t="inlineStr">
        <is>
          <t>x</t>
        </is>
      </c>
      <c r="B188" s="237" t="inlineStr">
        <is>
          <t>Returns Creation</t>
        </is>
      </c>
      <c r="C188" s="237" t="n"/>
      <c r="D188" s="237" t="n"/>
      <c r="E188" s="237" t="n"/>
      <c r="F188" s="237" t="n"/>
      <c r="G188" s="237" t="n"/>
      <c r="H188" s="237" t="n"/>
      <c r="I188" s="237" t="n"/>
      <c r="J188" s="237" t="n"/>
    </row>
    <row r="189" ht="12.75" customHeight="1" s="148">
      <c r="E189" s="282" t="n">
        <v>2024</v>
      </c>
      <c r="F189" s="282" t="n">
        <v>2029</v>
      </c>
      <c r="G189" s="282" t="inlineStr">
        <is>
          <t>Change</t>
        </is>
      </c>
      <c r="H189" s="282" t="inlineStr">
        <is>
          <t>Multiple</t>
        </is>
      </c>
      <c r="I189" s="282" t="inlineStr">
        <is>
          <t>$</t>
        </is>
      </c>
      <c r="J189" s="282" t="inlineStr">
        <is>
          <t>%</t>
        </is>
      </c>
    </row>
    <row r="190" ht="12.75" customHeight="1" s="148">
      <c r="B190" s="213" t="inlineStr">
        <is>
          <t>Beg Equity Value</t>
        </is>
      </c>
      <c r="E190" s="227" t="n"/>
      <c r="F190" s="227" t="n"/>
      <c r="G190" s="227" t="n"/>
      <c r="H190" s="227" t="n"/>
      <c r="I190" s="227">
        <f>+E14</f>
        <v/>
      </c>
    </row>
    <row r="191" ht="12.75" customHeight="1" s="148">
      <c r="E191" s="227" t="n"/>
      <c r="F191" s="227" t="n"/>
      <c r="G191" s="227" t="n"/>
      <c r="H191" s="227" t="n"/>
      <c r="I191" s="227" t="n"/>
    </row>
    <row r="192" ht="12.75" customHeight="1" s="148">
      <c r="B192" s="245" t="inlineStr">
        <is>
          <t>Creation</t>
        </is>
      </c>
      <c r="E192" s="227" t="n"/>
      <c r="F192" s="227" t="n"/>
      <c r="G192" s="227" t="n"/>
      <c r="H192" s="227" t="n"/>
      <c r="I192" s="227" t="n"/>
    </row>
    <row r="193" ht="12.75" customHeight="1" s="148">
      <c r="B193" s="213" t="inlineStr">
        <is>
          <t>Cash Build</t>
        </is>
      </c>
      <c r="E193" s="227">
        <f>+E62</f>
        <v/>
      </c>
      <c r="F193" s="227">
        <f>J62</f>
        <v/>
      </c>
      <c r="G193" s="227">
        <f>+F193-E193</f>
        <v/>
      </c>
      <c r="H193" s="228" t="n">
        <v>1</v>
      </c>
      <c r="I193" s="227">
        <f>+G193*H193</f>
        <v/>
      </c>
      <c r="J193" s="266">
        <f>+I193/$I$202</f>
        <v/>
      </c>
    </row>
    <row r="194" ht="12.75" customHeight="1" s="148">
      <c r="B194" s="213" t="inlineStr">
        <is>
          <t>Debt Paydown</t>
        </is>
      </c>
      <c r="E194" s="227">
        <f>+E67</f>
        <v/>
      </c>
      <c r="F194" s="227">
        <f>+J67</f>
        <v/>
      </c>
      <c r="G194" s="227">
        <f>+E194-F194</f>
        <v/>
      </c>
      <c r="H194" s="228" t="n">
        <v>1</v>
      </c>
      <c r="I194" s="227">
        <f>+G194*H194</f>
        <v/>
      </c>
      <c r="J194" s="266">
        <f>+I194/$I$202</f>
        <v/>
      </c>
    </row>
    <row r="195" ht="12.75" customHeight="1" s="148">
      <c r="B195" s="213" t="inlineStr">
        <is>
          <t>EBITDA Growth</t>
        </is>
      </c>
      <c r="E195" s="227">
        <f>+E31</f>
        <v/>
      </c>
      <c r="F195" s="227">
        <f>J31</f>
        <v/>
      </c>
      <c r="G195" s="227">
        <f>+F195-E195</f>
        <v/>
      </c>
      <c r="H195" s="228">
        <f>E4</f>
        <v/>
      </c>
      <c r="I195" s="227">
        <f>+G195*H195</f>
        <v/>
      </c>
      <c r="J195" s="266">
        <f>+I195/$I$202</f>
        <v/>
      </c>
    </row>
    <row r="196" ht="12.75" customHeight="1" s="148">
      <c r="B196" s="213" t="inlineStr">
        <is>
          <t>Multiple Expansion</t>
        </is>
      </c>
      <c r="E196" s="227">
        <f>+E3</f>
        <v/>
      </c>
      <c r="F196" s="227">
        <f>+E4</f>
        <v/>
      </c>
      <c r="G196" s="227">
        <f>+F196-E196</f>
        <v/>
      </c>
      <c r="H196" s="227">
        <f>+F195</f>
        <v/>
      </c>
      <c r="I196" s="227">
        <f>+G196*H196</f>
        <v/>
      </c>
      <c r="J196" s="266">
        <f>+I196/$I$202</f>
        <v/>
      </c>
    </row>
    <row r="197" ht="12.75" customHeight="1" s="148">
      <c r="B197" s="233" t="inlineStr">
        <is>
          <t>Created Value</t>
        </is>
      </c>
      <c r="C197" s="233" t="n"/>
      <c r="D197" s="233" t="n"/>
      <c r="E197" s="234" t="n"/>
      <c r="F197" s="234" t="n"/>
      <c r="G197" s="234" t="n"/>
      <c r="H197" s="234" t="n"/>
      <c r="I197" s="234">
        <f>SUM(I193:I196)</f>
        <v/>
      </c>
      <c r="J197" s="259">
        <f>SUM(J193:J196)</f>
        <v/>
      </c>
    </row>
    <row r="198" ht="12.75" customHeight="1" s="148">
      <c r="B198" s="213" t="inlineStr">
        <is>
          <t>(-) M&amp;A Fee</t>
        </is>
      </c>
      <c r="E198" s="227" t="n"/>
      <c r="F198" s="227" t="n"/>
      <c r="G198" s="227" t="n"/>
      <c r="H198" s="227" t="n"/>
      <c r="I198" s="227">
        <f>+-J12</f>
        <v/>
      </c>
      <c r="J198" s="266">
        <f>+I198/$I$202</f>
        <v/>
      </c>
    </row>
    <row r="199" ht="12.75" customHeight="1" s="148">
      <c r="B199" s="213" t="inlineStr">
        <is>
          <t>(-) Fin. Fee</t>
        </is>
      </c>
      <c r="E199" s="227" t="n"/>
      <c r="F199" s="227" t="n"/>
      <c r="G199" s="227" t="n"/>
      <c r="H199" s="227" t="n"/>
      <c r="I199" s="227">
        <f>+-J13</f>
        <v/>
      </c>
      <c r="J199" s="266">
        <f>+I199/$I$202</f>
        <v/>
      </c>
    </row>
    <row r="200" ht="12.75" customHeight="1" s="148">
      <c r="B200" s="233" t="inlineStr">
        <is>
          <t>Net Created Value (All)</t>
        </is>
      </c>
      <c r="C200" s="233" t="n"/>
      <c r="D200" s="233" t="n"/>
      <c r="E200" s="234" t="n"/>
      <c r="F200" s="234" t="n"/>
      <c r="G200" s="234" t="n"/>
      <c r="H200" s="234" t="n"/>
      <c r="I200" s="234">
        <f>SUM(I197:I199)</f>
        <v/>
      </c>
      <c r="J200" s="259">
        <f>SUM(J197:J199)</f>
        <v/>
      </c>
    </row>
    <row r="201" ht="12.75" customHeight="1" s="148">
      <c r="B201" s="213" t="inlineStr">
        <is>
          <t>Management Roll</t>
        </is>
      </c>
      <c r="E201" s="227" t="n"/>
      <c r="F201" s="227" t="n"/>
      <c r="G201" s="227" t="n"/>
      <c r="H201" s="227" t="n"/>
      <c r="I201" s="227">
        <f>+-I200*K158</f>
        <v/>
      </c>
      <c r="J201" s="266">
        <f>+I201/$I$202</f>
        <v/>
      </c>
    </row>
    <row r="202" ht="12.75" customHeight="1" s="148">
      <c r="B202" s="233" t="inlineStr">
        <is>
          <t>Sponsor Creation</t>
        </is>
      </c>
      <c r="C202" s="233" t="n"/>
      <c r="D202" s="233" t="n"/>
      <c r="E202" s="234" t="n"/>
      <c r="F202" s="234" t="n"/>
      <c r="G202" s="234" t="n"/>
      <c r="H202" s="234" t="n"/>
      <c r="I202" s="234">
        <f>SUM(I200:I201)</f>
        <v/>
      </c>
      <c r="J202" s="259">
        <f>SUM(J200:J201)</f>
        <v/>
      </c>
    </row>
    <row r="203" ht="12.75" customHeight="1" s="148">
      <c r="E203" s="227" t="n"/>
      <c r="F203" s="227" t="n"/>
      <c r="G203" s="227" t="n"/>
      <c r="H203" s="227" t="n"/>
      <c r="I203" s="227" t="n"/>
    </row>
    <row r="204" ht="12.75" customHeight="1" s="148">
      <c r="B204" s="213" t="inlineStr">
        <is>
          <t>Ending Equity (Calc)</t>
        </is>
      </c>
      <c r="E204" s="227" t="n"/>
      <c r="F204" s="227" t="n"/>
      <c r="G204" s="227" t="n"/>
      <c r="H204" s="227" t="n"/>
      <c r="I204" s="227">
        <f>+I190+I202</f>
        <v/>
      </c>
    </row>
    <row r="205" ht="12.75" customHeight="1" s="148">
      <c r="B205" s="213" t="inlineStr">
        <is>
          <t>Ending Equity (Link)</t>
        </is>
      </c>
      <c r="E205" s="227" t="n"/>
      <c r="F205" s="227" t="n"/>
      <c r="G205" s="227" t="n"/>
      <c r="H205" s="227" t="n"/>
      <c r="I205" s="227">
        <f>+J159</f>
        <v/>
      </c>
    </row>
    <row r="207" ht="12.75" customFormat="1" customHeight="1" s="283">
      <c r="A207" s="283" t="inlineStr">
        <is>
          <t>x</t>
        </is>
      </c>
      <c r="B207" s="283" t="inlineStr">
        <is>
          <t>Check</t>
        </is>
      </c>
      <c r="I207" s="284">
        <f>I204-I205</f>
        <v/>
      </c>
    </row>
  </sheetData>
  <mergeCells count="6">
    <mergeCell ref="B17:E17"/>
    <mergeCell ref="G10:J10"/>
    <mergeCell ref="D172:H172"/>
    <mergeCell ref="D180:H180"/>
    <mergeCell ref="B10:E10"/>
    <mergeCell ref="B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44546A"/>
    <outlinePr summaryBelow="1" summaryRight="1"/>
    <pageSetUpPr fitToPage="0"/>
  </sheetPr>
  <dimension ref="A1:L20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2.75" zeroHeight="0" outlineLevelRow="0"/>
  <cols>
    <col width="2.82" customWidth="1" style="213" min="1" max="1"/>
    <col width="11.54" customWidth="1" style="213" min="2" max="2"/>
    <col width="8.73" customWidth="1" style="213" min="3" max="16384"/>
  </cols>
  <sheetData>
    <row r="1" ht="16.15" customHeight="1" s="148">
      <c r="B1" s="214" t="inlineStr">
        <is>
          <t>Bain Capital / Varsity Brands (2018-24) — Full LBO model (template: LBO Model Solution)</t>
        </is>
      </c>
    </row>
    <row r="2" ht="12.75" customHeight="1" s="148">
      <c r="B2" s="215" t="inlineStr">
        <is>
          <t>Assumptions</t>
        </is>
      </c>
      <c r="L2" s="163" t="inlineStr">
        <is>
          <t>INPUT NOTES</t>
        </is>
      </c>
    </row>
    <row r="3" ht="137.3" customHeight="1" s="148">
      <c r="B3" s="213" t="inlineStr">
        <is>
          <t>Entry Multiple</t>
        </is>
      </c>
      <c r="E3" s="216" t="n">
        <v>10</v>
      </c>
      <c r="G3" s="213" t="inlineStr">
        <is>
          <t>TL</t>
        </is>
      </c>
      <c r="I3" s="216" t="n">
        <v>4.724</v>
      </c>
      <c r="J3" s="217" t="n">
        <v>0.0225</v>
      </c>
      <c r="L3" s="150" t="inlineStr">
        <is>
          <t>EBITDA at entry $290m and entry multiple 10.0x reproduce the filed/reported purchase price of $2,900m.</t>
        </is>
      </c>
    </row>
    <row r="4" ht="85.05" customHeight="1" s="148">
      <c r="B4" s="213" t="inlineStr">
        <is>
          <t>Exit Multiple</t>
        </is>
      </c>
      <c r="E4" s="216" t="n">
        <v>11.875</v>
      </c>
      <c r="G4" s="213" t="inlineStr">
        <is>
          <t>Mezz</t>
        </is>
      </c>
      <c r="I4" s="216" t="n">
        <v>2.138</v>
      </c>
      <c r="J4" s="217" t="n">
        <v>0.0225</v>
      </c>
      <c r="L4" s="150" t="inlineStr">
        <is>
          <t>Term loan 4.724x EBITDA at 5.75%; mezz/second-lien 2.138x at 10.25%.</t>
        </is>
      </c>
    </row>
    <row r="5" ht="231.3" customHeight="1" s="148">
      <c r="B5" s="213" t="inlineStr">
        <is>
          <t>EBITDA at Entry</t>
        </is>
      </c>
      <c r="E5" s="218" t="n">
        <v>290</v>
      </c>
      <c r="G5" s="213" t="inlineStr">
        <is>
          <t>Days</t>
        </is>
      </c>
      <c r="I5" s="219" t="n">
        <v>365</v>
      </c>
      <c r="L5" s="150" t="inlineStr">
        <is>
          <t>Purchase-accounting inputs (NPV of assets, PP&amp;E allocation, DTL rate), working-capital days and D&amp;A/capex ratios are assumptions unless the paper tab's source column says otherwise.</t>
        </is>
      </c>
    </row>
    <row r="6" ht="179.1" customHeight="1" s="148">
      <c r="B6" s="213" t="inlineStr">
        <is>
          <t>Financing Fees Years</t>
        </is>
      </c>
      <c r="E6" s="220" t="n">
        <v>7</v>
      </c>
      <c r="G6" s="213" t="inlineStr">
        <is>
          <t>Tax Rate</t>
        </is>
      </c>
      <c r="I6" s="221" t="n">
        <v>0.25</v>
      </c>
      <c r="L6" s="150" t="inlineStr">
        <is>
          <t>Sensitivity tables (rows 173-186) are Excel data tables and recompute when opened in Excel; other spreadsheet apps may show the last cached values.</t>
        </is>
      </c>
    </row>
    <row r="7" ht="408.2" customHeight="1" s="148">
      <c r="B7" s="213" t="inlineStr">
        <is>
          <t>D&amp;A Life</t>
        </is>
      </c>
      <c r="E7" s="220" t="n">
        <v>15</v>
      </c>
      <c r="L7" s="150" t="inlineStr">
        <is>
          <t>Three template formulas are corrected on this tab so the model survives negative cash flow: CFF now includes the revolver draw (row 89); a negative cash balance no longer triggers a second revolver draw (row 110); the term-loan sweep only uses cash that exists (row 120). With positive cash flow the results are identical to the original.</t>
        </is>
      </c>
    </row>
    <row r="8" ht="179.1" customHeight="1" s="148">
      <c r="B8" s="213" t="inlineStr">
        <is>
          <t>Rollover</t>
        </is>
      </c>
      <c r="E8" s="222" t="n">
        <v>0.1</v>
      </c>
      <c r="G8" s="223" t="inlineStr">
        <is>
          <t>circ</t>
        </is>
      </c>
      <c r="H8" s="224" t="n"/>
      <c r="I8" s="225" t="n">
        <v>1</v>
      </c>
      <c r="J8" s="226" t="inlineStr">
        <is>
          <t>&lt;&lt; interest is charged on opening balances on this tab, so no iteration is needed; 1 keeps interest on</t>
        </is>
      </c>
      <c r="L8" s="150" t="inlineStr">
        <is>
          <t>Interest is charged on opening balances, which removes the template's circular reference; switch I8 is left at 1 so the interest lines stay live.</t>
        </is>
      </c>
    </row>
    <row r="10" ht="12.75" customHeight="1" s="148">
      <c r="B10" s="215" t="inlineStr">
        <is>
          <t>Sources</t>
        </is>
      </c>
      <c r="G10" s="215" t="inlineStr">
        <is>
          <t>Uses</t>
        </is>
      </c>
    </row>
    <row r="11" ht="12.75" customHeight="1" s="148">
      <c r="B11" s="213" t="inlineStr">
        <is>
          <t>Term Loan</t>
        </is>
      </c>
      <c r="E11" s="227">
        <f>+I3*$E$5</f>
        <v/>
      </c>
      <c r="G11" s="213" t="inlineStr">
        <is>
          <t>Equity purchase price</t>
        </is>
      </c>
      <c r="J11" s="227">
        <f>+E18</f>
        <v/>
      </c>
    </row>
    <row r="12" ht="12.75" customHeight="1" s="148">
      <c r="B12" s="213" t="inlineStr">
        <is>
          <t>Mezz Loan</t>
        </is>
      </c>
      <c r="E12" s="227">
        <f>+I4*$E$5</f>
        <v/>
      </c>
      <c r="G12" s="213" t="inlineStr">
        <is>
          <t>M&amp;A fee</t>
        </is>
      </c>
      <c r="J12" s="218" t="n">
        <v>45</v>
      </c>
    </row>
    <row r="13" ht="12.75" customHeight="1" s="148">
      <c r="B13" s="213" t="inlineStr">
        <is>
          <t>Management Rollover</t>
        </is>
      </c>
      <c r="E13" s="227">
        <f>+E18*E8</f>
        <v/>
      </c>
      <c r="G13" s="213" t="inlineStr">
        <is>
          <t>Fin. Fee</t>
        </is>
      </c>
      <c r="J13" s="228">
        <f>+J3*E11+J4*E12</f>
        <v/>
      </c>
    </row>
    <row r="14" ht="12.75" customHeight="1" s="148">
      <c r="B14" s="213" t="inlineStr">
        <is>
          <t>Sponsor Equity</t>
        </is>
      </c>
      <c r="E14" s="227">
        <f>E15-SUM(E11:E13)</f>
        <v/>
      </c>
      <c r="J14" s="227" t="n"/>
    </row>
    <row r="15" ht="12.75" customHeight="1" s="148">
      <c r="B15" s="229" t="inlineStr">
        <is>
          <t>Total Sources</t>
        </is>
      </c>
      <c r="C15" s="229" t="n"/>
      <c r="D15" s="229" t="n"/>
      <c r="E15" s="230">
        <f>J15</f>
        <v/>
      </c>
      <c r="G15" s="229" t="inlineStr">
        <is>
          <t>Total Uses</t>
        </is>
      </c>
      <c r="H15" s="229" t="n"/>
      <c r="I15" s="229" t="n"/>
      <c r="J15" s="230">
        <f>SUM(J11:J14)</f>
        <v/>
      </c>
    </row>
    <row r="17" ht="12.75" customHeight="1" s="148">
      <c r="B17" s="215" t="inlineStr">
        <is>
          <t>Purchase Acct</t>
        </is>
      </c>
      <c r="G17" s="231" t="n"/>
    </row>
    <row r="18" ht="12.75" customHeight="1" s="148">
      <c r="B18" s="213" t="inlineStr">
        <is>
          <t>Purchase Price</t>
        </is>
      </c>
      <c r="E18" s="227">
        <f>+E3*E5</f>
        <v/>
      </c>
      <c r="G18" s="232" t="n"/>
    </row>
    <row r="19" ht="12.75" customHeight="1" s="148">
      <c r="B19" s="213" t="inlineStr">
        <is>
          <t>(-) NPV</t>
        </is>
      </c>
      <c r="E19" s="218" t="n">
        <v>-450</v>
      </c>
      <c r="G19" s="231" t="n"/>
    </row>
    <row r="20" ht="12.75" customHeight="1" s="148">
      <c r="B20" s="233" t="inlineStr">
        <is>
          <t>Excess</t>
        </is>
      </c>
      <c r="C20" s="233" t="n"/>
      <c r="D20" s="233" t="n"/>
      <c r="E20" s="234">
        <f>SUM(E18:E19)</f>
        <v/>
      </c>
      <c r="G20" s="231" t="n"/>
    </row>
    <row r="21" ht="12.75" customHeight="1" s="148">
      <c r="B21" s="213" t="inlineStr">
        <is>
          <t>(-) Alloc to PPE</t>
        </is>
      </c>
      <c r="D21" s="221" t="n">
        <v>0.1</v>
      </c>
      <c r="E21" s="227">
        <f>+-E20*D21</f>
        <v/>
      </c>
      <c r="G21" s="231" t="n"/>
    </row>
    <row r="22" ht="12.75" customHeight="1" s="148">
      <c r="B22" s="213" t="inlineStr">
        <is>
          <t>DTL</t>
        </is>
      </c>
      <c r="D22" s="221" t="n">
        <v>0.25</v>
      </c>
      <c r="E22" s="227">
        <f>+-E21*D22</f>
        <v/>
      </c>
      <c r="G22" s="231" t="n"/>
    </row>
    <row r="23" ht="12.75" customHeight="1" s="148">
      <c r="B23" s="235" t="inlineStr">
        <is>
          <t>Goodwill</t>
        </is>
      </c>
      <c r="C23" s="235" t="n"/>
      <c r="D23" s="235" t="n"/>
      <c r="E23" s="236">
        <f>SUM(E20:E22)</f>
        <v/>
      </c>
    </row>
    <row r="25" ht="12.75" customHeight="1" s="148">
      <c r="A25" s="213" t="inlineStr">
        <is>
          <t>x</t>
        </is>
      </c>
      <c r="B25" s="237" t="inlineStr">
        <is>
          <t>Income Statement</t>
        </is>
      </c>
      <c r="C25" s="237" t="n"/>
      <c r="D25" s="237" t="n"/>
      <c r="E25" s="237" t="n">
        <v>2018</v>
      </c>
      <c r="F25" s="237">
        <f>E25+1</f>
        <v/>
      </c>
      <c r="G25" s="237">
        <f>F25+1</f>
        <v/>
      </c>
      <c r="H25" s="237">
        <f>G25+1</f>
        <v/>
      </c>
      <c r="I25" s="237">
        <f>H25+1</f>
        <v/>
      </c>
      <c r="J25" s="237">
        <f>I25+1</f>
        <v/>
      </c>
    </row>
    <row r="26" ht="12.75" customHeight="1" s="148">
      <c r="B26" s="238" t="inlineStr">
        <is>
          <t>Revenue</t>
        </is>
      </c>
      <c r="C26" s="238" t="n"/>
      <c r="D26" s="238" t="n"/>
      <c r="E26" s="236">
        <f>+E31/E32</f>
        <v/>
      </c>
      <c r="F26" s="236">
        <f>+E26*(1+F27)</f>
        <v/>
      </c>
      <c r="G26" s="236">
        <f>+F26*(1+G27)</f>
        <v/>
      </c>
      <c r="H26" s="236">
        <f>+G26*(1+H27)</f>
        <v/>
      </c>
      <c r="I26" s="236">
        <f>+H26*(1+I27)</f>
        <v/>
      </c>
      <c r="J26" s="236">
        <f>+I26*(1+J27)</f>
        <v/>
      </c>
    </row>
    <row r="27" ht="12.75" customHeight="1" s="148">
      <c r="B27" s="239" t="inlineStr">
        <is>
          <t>% Growth</t>
        </is>
      </c>
      <c r="F27" s="221" t="n">
        <v>0.066</v>
      </c>
      <c r="G27" s="240">
        <f>+F27</f>
        <v/>
      </c>
      <c r="H27" s="240">
        <f>+G27</f>
        <v/>
      </c>
      <c r="I27" s="240">
        <f>+H27</f>
        <v/>
      </c>
      <c r="J27" s="240">
        <f>+I27</f>
        <v/>
      </c>
    </row>
    <row r="28" ht="12.75" customHeight="1" s="148">
      <c r="B28" s="213" t="inlineStr">
        <is>
          <t>(-) Cogs</t>
        </is>
      </c>
      <c r="E28" s="227">
        <f>E29-E26</f>
        <v/>
      </c>
      <c r="F28" s="227">
        <f>F29-F26</f>
        <v/>
      </c>
      <c r="G28" s="227">
        <f>G29-G26</f>
        <v/>
      </c>
      <c r="H28" s="227">
        <f>H29-H26</f>
        <v/>
      </c>
      <c r="I28" s="227">
        <f>I29-I26</f>
        <v/>
      </c>
      <c r="J28" s="227">
        <f>J29-J26</f>
        <v/>
      </c>
    </row>
    <row r="29" ht="12.75" customHeight="1" s="148">
      <c r="B29" s="235" t="inlineStr">
        <is>
          <t>Gross Profit</t>
        </is>
      </c>
      <c r="C29" s="235" t="n"/>
      <c r="D29" s="235" t="n"/>
      <c r="E29" s="236">
        <f>+E26*E30</f>
        <v/>
      </c>
      <c r="F29" s="236">
        <f>+F26*F30</f>
        <v/>
      </c>
      <c r="G29" s="236">
        <f>+G26*G30</f>
        <v/>
      </c>
      <c r="H29" s="236">
        <f>+H26*H30</f>
        <v/>
      </c>
      <c r="I29" s="236">
        <f>+I26*I30</f>
        <v/>
      </c>
      <c r="J29" s="236">
        <f>+J26*J30</f>
        <v/>
      </c>
    </row>
    <row r="30" ht="12.75" customHeight="1" s="148">
      <c r="B30" s="239" t="inlineStr">
        <is>
          <t>% Gross Margin</t>
        </is>
      </c>
      <c r="E30" s="221" t="n">
        <v>0.4</v>
      </c>
      <c r="F30" s="240">
        <f>+E30</f>
        <v/>
      </c>
      <c r="G30" s="240">
        <f>+F30</f>
        <v/>
      </c>
      <c r="H30" s="240">
        <f>+G30</f>
        <v/>
      </c>
      <c r="I30" s="240">
        <f>+H30</f>
        <v/>
      </c>
      <c r="J30" s="240">
        <f>+I30</f>
        <v/>
      </c>
    </row>
    <row r="31" ht="12.75" customHeight="1" s="148">
      <c r="B31" s="238" t="inlineStr">
        <is>
          <t>EBITDA</t>
        </is>
      </c>
      <c r="C31" s="238" t="n"/>
      <c r="D31" s="238" t="n"/>
      <c r="E31" s="241">
        <f>+E5</f>
        <v/>
      </c>
      <c r="F31" s="241">
        <f>+F26*F32</f>
        <v/>
      </c>
      <c r="G31" s="241">
        <f>+G26*G32</f>
        <v/>
      </c>
      <c r="H31" s="241">
        <f>+H26*H32</f>
        <v/>
      </c>
      <c r="I31" s="241">
        <f>+I26*I32</f>
        <v/>
      </c>
      <c r="J31" s="241">
        <f>+J26*J32</f>
        <v/>
      </c>
    </row>
    <row r="32" ht="12.75" customHeight="1" s="148">
      <c r="B32" s="242" t="inlineStr">
        <is>
          <t>% Margin</t>
        </is>
      </c>
      <c r="E32" s="221" t="n">
        <v>0.145</v>
      </c>
      <c r="F32" s="240">
        <f>+E32</f>
        <v/>
      </c>
      <c r="G32" s="240">
        <f>+F32</f>
        <v/>
      </c>
      <c r="H32" s="240">
        <f>+G32</f>
        <v/>
      </c>
      <c r="I32" s="240">
        <f>+H32</f>
        <v/>
      </c>
      <c r="J32" s="240">
        <f>+I32</f>
        <v/>
      </c>
    </row>
    <row r="33" ht="12.75" customHeight="1" s="148">
      <c r="B33" s="213" t="inlineStr">
        <is>
          <t>(-) D&amp;A</t>
        </is>
      </c>
      <c r="F33" s="227">
        <f>+-F26*F46+F42</f>
        <v/>
      </c>
      <c r="G33" s="227">
        <f>+-G26*G46+G42</f>
        <v/>
      </c>
      <c r="H33" s="227">
        <f>+-H26*H46+H42</f>
        <v/>
      </c>
      <c r="I33" s="227">
        <f>+-I26*I46+I42</f>
        <v/>
      </c>
      <c r="J33" s="227">
        <f>+-J26*J46+J42</f>
        <v/>
      </c>
    </row>
    <row r="34" ht="12.75" customHeight="1" s="148">
      <c r="B34" s="235" t="inlineStr">
        <is>
          <t>EBIT</t>
        </is>
      </c>
      <c r="C34" s="235" t="n"/>
      <c r="D34" s="235" t="n"/>
      <c r="E34" s="235" t="n"/>
      <c r="F34" s="236">
        <f>+F31+F33</f>
        <v/>
      </c>
      <c r="G34" s="236">
        <f>+G31+G33</f>
        <v/>
      </c>
      <c r="H34" s="236">
        <f>+H31+H33</f>
        <v/>
      </c>
      <c r="I34" s="236">
        <f>+I31+I33</f>
        <v/>
      </c>
      <c r="J34" s="236">
        <f>+J31+J33</f>
        <v/>
      </c>
    </row>
    <row r="35" ht="12.75" customHeight="1" s="148">
      <c r="B35" s="213" t="inlineStr">
        <is>
          <t>(-) Interest Expense</t>
        </is>
      </c>
      <c r="F35" s="243">
        <f>+$I$8*F150</f>
        <v/>
      </c>
      <c r="G35" s="243">
        <f>+$I$8*G150</f>
        <v/>
      </c>
      <c r="H35" s="243">
        <f>+$I$8*H150</f>
        <v/>
      </c>
      <c r="I35" s="243">
        <f>+$I$8*I150</f>
        <v/>
      </c>
      <c r="J35" s="243">
        <f>+$I$8*J150</f>
        <v/>
      </c>
    </row>
    <row r="36" ht="12.75" customHeight="1" s="148">
      <c r="B36" s="213" t="inlineStr">
        <is>
          <t>(+) Interest Income</t>
        </is>
      </c>
      <c r="F36" s="243">
        <f>+$I$8*F148</f>
        <v/>
      </c>
      <c r="G36" s="243">
        <f>+$I$8*G148</f>
        <v/>
      </c>
      <c r="H36" s="243">
        <f>+$I$8*H148</f>
        <v/>
      </c>
      <c r="I36" s="243">
        <f>+$I$8*I148</f>
        <v/>
      </c>
      <c r="J36" s="243">
        <f>+$I$8*J148</f>
        <v/>
      </c>
    </row>
    <row r="37" ht="12.75" customHeight="1" s="148">
      <c r="B37" s="213" t="inlineStr">
        <is>
          <t>(-) Amort. Of Fin Fee</t>
        </is>
      </c>
      <c r="F37" s="227">
        <f>+-$J$13/$E$6</f>
        <v/>
      </c>
      <c r="G37" s="227">
        <f>+-$J$13/$E$6</f>
        <v/>
      </c>
      <c r="H37" s="227">
        <f>+-$J$13/$E$6</f>
        <v/>
      </c>
      <c r="I37" s="227">
        <f>+-$J$13/$E$6</f>
        <v/>
      </c>
      <c r="J37" s="227">
        <f>+-$J$13/$E$6</f>
        <v/>
      </c>
    </row>
    <row r="38" ht="12.75" customHeight="1" s="148">
      <c r="B38" s="235" t="inlineStr">
        <is>
          <t>EBT</t>
        </is>
      </c>
      <c r="C38" s="235" t="n"/>
      <c r="D38" s="235" t="n"/>
      <c r="E38" s="235" t="n"/>
      <c r="F38" s="236">
        <f>SUM(F34:F37)</f>
        <v/>
      </c>
      <c r="G38" s="236">
        <f>SUM(G34:G37)</f>
        <v/>
      </c>
      <c r="H38" s="236">
        <f>SUM(H34:H37)</f>
        <v/>
      </c>
      <c r="I38" s="236">
        <f>SUM(I34:I37)</f>
        <v/>
      </c>
      <c r="J38" s="236">
        <f>SUM(J34:J37)</f>
        <v/>
      </c>
    </row>
    <row r="39" ht="12.75" customHeight="1" s="148">
      <c r="B39" s="213" t="inlineStr">
        <is>
          <t>(-) Taxes</t>
        </is>
      </c>
      <c r="F39" s="227">
        <f>+-F38*$I$6</f>
        <v/>
      </c>
      <c r="G39" s="227">
        <f>+-G38*$I$6</f>
        <v/>
      </c>
      <c r="H39" s="227">
        <f>+-H38*$I$6</f>
        <v/>
      </c>
      <c r="I39" s="227">
        <f>+-I38*$I$6</f>
        <v/>
      </c>
      <c r="J39" s="227">
        <f>+-J38*$I$6</f>
        <v/>
      </c>
    </row>
    <row r="40" ht="12.75" customHeight="1" s="148">
      <c r="B40" s="235" t="inlineStr">
        <is>
          <t>Net Income</t>
        </is>
      </c>
      <c r="C40" s="235" t="n"/>
      <c r="D40" s="235" t="n"/>
      <c r="E40" s="235" t="n"/>
      <c r="F40" s="236">
        <f>SUM(F38:F39)</f>
        <v/>
      </c>
      <c r="G40" s="236">
        <f>SUM(G38:G39)</f>
        <v/>
      </c>
      <c r="H40" s="236">
        <f>SUM(H38:H39)</f>
        <v/>
      </c>
      <c r="I40" s="236">
        <f>SUM(I38:I39)</f>
        <v/>
      </c>
      <c r="J40" s="236">
        <f>SUM(J38:J39)</f>
        <v/>
      </c>
    </row>
    <row r="41" ht="12.75" customHeight="1" s="148">
      <c r="F41" s="227" t="n"/>
      <c r="G41" s="227" t="n"/>
      <c r="H41" s="227" t="n"/>
      <c r="I41" s="227" t="n"/>
      <c r="J41" s="227" t="n"/>
    </row>
    <row r="42" ht="12.75" customHeight="1" s="148">
      <c r="B42" s="213" t="inlineStr">
        <is>
          <t>Incremental D&amp;A</t>
        </is>
      </c>
      <c r="F42" s="227">
        <f>+$E$21/$E$7</f>
        <v/>
      </c>
      <c r="G42" s="227">
        <f>+$E$21/$E$7</f>
        <v/>
      </c>
      <c r="H42" s="227">
        <f>+$E$21/$E$7</f>
        <v/>
      </c>
      <c r="I42" s="227">
        <f>+$E$21/$E$7</f>
        <v/>
      </c>
      <c r="J42" s="227">
        <f>+$E$21/$E$7</f>
        <v/>
      </c>
    </row>
    <row r="43" ht="12.75" customHeight="1" s="148">
      <c r="B43" s="213" t="inlineStr">
        <is>
          <t>DTL</t>
        </is>
      </c>
      <c r="F43" s="227">
        <f>+F42*$D$22</f>
        <v/>
      </c>
      <c r="G43" s="227">
        <f>+G42*$D$22</f>
        <v/>
      </c>
      <c r="H43" s="227">
        <f>+H42*$D$22</f>
        <v/>
      </c>
      <c r="I43" s="227">
        <f>+I42*$D$22</f>
        <v/>
      </c>
      <c r="J43" s="227">
        <f>+J42*$D$22</f>
        <v/>
      </c>
    </row>
    <row r="44" ht="12.75" customHeight="1" s="148">
      <c r="B44" s="213" t="inlineStr">
        <is>
          <t>Capex</t>
        </is>
      </c>
      <c r="F44" s="227">
        <f>-F47*F33</f>
        <v/>
      </c>
      <c r="G44" s="227">
        <f>-G47*G33</f>
        <v/>
      </c>
      <c r="H44" s="227">
        <f>-H47*H33</f>
        <v/>
      </c>
      <c r="I44" s="227">
        <f>-I47*I33</f>
        <v/>
      </c>
      <c r="J44" s="227">
        <f>-J47*J33</f>
        <v/>
      </c>
    </row>
    <row r="46" ht="12.75" customHeight="1" s="148">
      <c r="B46" s="213" t="inlineStr">
        <is>
          <t>D&amp;A as % of Sales</t>
        </is>
      </c>
      <c r="F46" s="221" t="n">
        <v>0.03</v>
      </c>
      <c r="G46" s="244">
        <f>+F46</f>
        <v/>
      </c>
      <c r="H46" s="244">
        <f>+G46</f>
        <v/>
      </c>
      <c r="I46" s="244">
        <f>+H46</f>
        <v/>
      </c>
      <c r="J46" s="244">
        <f>+I46</f>
        <v/>
      </c>
    </row>
    <row r="47" ht="12.75" customHeight="1" s="148">
      <c r="B47" s="213" t="inlineStr">
        <is>
          <t>Capex as % of D&amp;A</t>
        </is>
      </c>
      <c r="F47" s="221" t="n">
        <v>0.8</v>
      </c>
      <c r="G47" s="244">
        <f>+F47</f>
        <v/>
      </c>
      <c r="H47" s="244">
        <f>+G47</f>
        <v/>
      </c>
      <c r="I47" s="244">
        <f>+H47</f>
        <v/>
      </c>
      <c r="J47" s="244">
        <f>+I47</f>
        <v/>
      </c>
    </row>
    <row r="49" ht="12.75" customHeight="1" s="148">
      <c r="A49" s="213" t="inlineStr">
        <is>
          <t>x</t>
        </is>
      </c>
      <c r="B49" s="237" t="inlineStr">
        <is>
          <t>WC Schedule</t>
        </is>
      </c>
      <c r="C49" s="237" t="n"/>
      <c r="D49" s="237" t="n"/>
      <c r="E49" s="237" t="n">
        <v>2013</v>
      </c>
      <c r="F49" s="237">
        <f>E49+1</f>
        <v/>
      </c>
      <c r="G49" s="237">
        <f>F49+1</f>
        <v/>
      </c>
      <c r="H49" s="237">
        <f>G49+1</f>
        <v/>
      </c>
      <c r="I49" s="237">
        <f>H49+1</f>
        <v/>
      </c>
      <c r="J49" s="237">
        <f>I49+1</f>
        <v/>
      </c>
    </row>
    <row r="50" ht="12.75" customHeight="1" s="148">
      <c r="B50" s="213" t="inlineStr">
        <is>
          <t>AR</t>
        </is>
      </c>
      <c r="E50" s="227">
        <f>+E26*E57/$I$5</f>
        <v/>
      </c>
      <c r="F50" s="227">
        <f>+F26*F57/$I$5</f>
        <v/>
      </c>
      <c r="G50" s="227">
        <f>+G26*G57/$I$5</f>
        <v/>
      </c>
      <c r="H50" s="227">
        <f>+H26*H57/$I$5</f>
        <v/>
      </c>
      <c r="I50" s="227">
        <f>+I26*I57/$I$5</f>
        <v/>
      </c>
      <c r="J50" s="227">
        <f>+J26*J57/$I$5</f>
        <v/>
      </c>
    </row>
    <row r="51" ht="12.75" customHeight="1" s="148">
      <c r="B51" s="213" t="inlineStr">
        <is>
          <t>Inventory</t>
        </is>
      </c>
      <c r="E51" s="227">
        <f>-E28/E58</f>
        <v/>
      </c>
      <c r="F51" s="227">
        <f>-F28/F58</f>
        <v/>
      </c>
      <c r="G51" s="227">
        <f>-G28/G58</f>
        <v/>
      </c>
      <c r="H51" s="227">
        <f>-H28/H58</f>
        <v/>
      </c>
      <c r="I51" s="227">
        <f>-I28/I58</f>
        <v/>
      </c>
      <c r="J51" s="227">
        <f>-J28/J58</f>
        <v/>
      </c>
    </row>
    <row r="52" ht="12.75" customHeight="1" s="148">
      <c r="B52" s="213" t="inlineStr">
        <is>
          <t>AP</t>
        </is>
      </c>
      <c r="E52" s="227">
        <f>-E28*E59/$I$5</f>
        <v/>
      </c>
      <c r="F52" s="227">
        <f>-F28*F59/$I$5</f>
        <v/>
      </c>
      <c r="G52" s="227">
        <f>-G28*G59/$I$5</f>
        <v/>
      </c>
      <c r="H52" s="227">
        <f>-H28*H59/$I$5</f>
        <v/>
      </c>
      <c r="I52" s="227">
        <f>-I28*I59/$I$5</f>
        <v/>
      </c>
      <c r="J52" s="227">
        <f>-J28*J59/$I$5</f>
        <v/>
      </c>
    </row>
    <row r="53" ht="12.75" customHeight="1" s="148">
      <c r="B53" s="233" t="inlineStr">
        <is>
          <t>WC</t>
        </is>
      </c>
      <c r="C53" s="233" t="n"/>
      <c r="D53" s="233" t="n"/>
      <c r="E53" s="234">
        <f>+E50+E51-E52</f>
        <v/>
      </c>
      <c r="F53" s="234">
        <f>+F50+F51-F52</f>
        <v/>
      </c>
      <c r="G53" s="234">
        <f>+G50+G51-G52</f>
        <v/>
      </c>
      <c r="H53" s="234">
        <f>+H50+H51-H52</f>
        <v/>
      </c>
      <c r="I53" s="234">
        <f>+I50+I51-I52</f>
        <v/>
      </c>
      <c r="J53" s="234">
        <f>+J50+J51-J52</f>
        <v/>
      </c>
    </row>
    <row r="54" ht="12.75" customHeight="1" s="148">
      <c r="B54" s="213" t="inlineStr">
        <is>
          <t>Change in WC</t>
        </is>
      </c>
      <c r="E54" s="227" t="n"/>
      <c r="F54" s="227">
        <f>+F53-E53</f>
        <v/>
      </c>
      <c r="G54" s="227">
        <f>+G53-F53</f>
        <v/>
      </c>
      <c r="H54" s="227">
        <f>+H53-G53</f>
        <v/>
      </c>
      <c r="I54" s="227">
        <f>+I53-H53</f>
        <v/>
      </c>
      <c r="J54" s="227">
        <f>+J53-I53</f>
        <v/>
      </c>
    </row>
    <row r="56" ht="12.75" customHeight="1" s="148">
      <c r="B56" s="245" t="inlineStr">
        <is>
          <t>Metrics</t>
        </is>
      </c>
    </row>
    <row r="57" ht="12.75" customHeight="1" s="148">
      <c r="B57" s="213" t="inlineStr">
        <is>
          <t>AR</t>
        </is>
      </c>
      <c r="E57" s="246" t="n">
        <v>45</v>
      </c>
      <c r="F57" s="247">
        <f>+E57</f>
        <v/>
      </c>
      <c r="G57" s="247">
        <f>+F57</f>
        <v/>
      </c>
      <c r="H57" s="247">
        <f>+G57</f>
        <v/>
      </c>
      <c r="I57" s="247">
        <f>+H57</f>
        <v/>
      </c>
      <c r="J57" s="247">
        <f>+I57</f>
        <v/>
      </c>
    </row>
    <row r="58" ht="12.75" customHeight="1" s="148">
      <c r="B58" s="213" t="inlineStr">
        <is>
          <t>Inventory</t>
        </is>
      </c>
      <c r="E58" s="216" t="n">
        <v>5</v>
      </c>
      <c r="F58" s="248">
        <f>+E58</f>
        <v/>
      </c>
      <c r="G58" s="248">
        <f>+F58</f>
        <v/>
      </c>
      <c r="H58" s="248">
        <f>+G58</f>
        <v/>
      </c>
      <c r="I58" s="248">
        <f>+H58</f>
        <v/>
      </c>
      <c r="J58" s="248">
        <f>+I58</f>
        <v/>
      </c>
    </row>
    <row r="59" ht="12.75" customHeight="1" s="148">
      <c r="B59" s="213" t="inlineStr">
        <is>
          <t>AP</t>
        </is>
      </c>
      <c r="E59" s="246" t="n">
        <v>45</v>
      </c>
      <c r="F59" s="247">
        <f>+E59</f>
        <v/>
      </c>
      <c r="G59" s="247">
        <f>+F59</f>
        <v/>
      </c>
      <c r="H59" s="247">
        <f>+G59</f>
        <v/>
      </c>
      <c r="I59" s="247">
        <f>+H59</f>
        <v/>
      </c>
      <c r="J59" s="247">
        <f>+I59</f>
        <v/>
      </c>
    </row>
    <row r="61" ht="12.75" customHeight="1" s="148">
      <c r="A61" s="213" t="inlineStr">
        <is>
          <t>x</t>
        </is>
      </c>
      <c r="B61" s="237" t="inlineStr">
        <is>
          <t>Cap Table</t>
        </is>
      </c>
      <c r="C61" s="237" t="n"/>
      <c r="D61" s="237" t="n"/>
      <c r="E61" s="237" t="n">
        <v>2013</v>
      </c>
      <c r="F61" s="237">
        <f>E61+1</f>
        <v/>
      </c>
      <c r="G61" s="237">
        <f>F61+1</f>
        <v/>
      </c>
      <c r="H61" s="237">
        <f>G61+1</f>
        <v/>
      </c>
      <c r="I61" s="237">
        <f>H61+1</f>
        <v/>
      </c>
      <c r="J61" s="237">
        <f>I61+1</f>
        <v/>
      </c>
    </row>
    <row r="62" ht="12.75" customHeight="1" s="148">
      <c r="B62" s="213" t="inlineStr">
        <is>
          <t>Cash</t>
        </is>
      </c>
      <c r="E62" s="249" t="n">
        <v>0</v>
      </c>
      <c r="F62" s="228">
        <f>+E62+F92</f>
        <v/>
      </c>
      <c r="G62" s="228">
        <f>+F62+G92</f>
        <v/>
      </c>
      <c r="H62" s="228">
        <f>+G62+H92</f>
        <v/>
      </c>
      <c r="I62" s="228">
        <f>+H62+I92</f>
        <v/>
      </c>
      <c r="J62" s="228">
        <f>+I62+J92</f>
        <v/>
      </c>
    </row>
    <row r="63" ht="12.75" customHeight="1" s="148">
      <c r="E63" s="249" t="n"/>
      <c r="F63" s="228" t="n"/>
      <c r="G63" s="228" t="n"/>
      <c r="H63" s="228" t="n"/>
      <c r="I63" s="228" t="n"/>
      <c r="J63" s="228" t="n"/>
    </row>
    <row r="64" ht="12.75" customHeight="1" s="148">
      <c r="B64" s="213" t="inlineStr">
        <is>
          <t>Revolver</t>
        </is>
      </c>
      <c r="E64" s="249" t="n">
        <v>0</v>
      </c>
      <c r="F64" s="228">
        <f>+F111</f>
        <v/>
      </c>
      <c r="G64" s="228">
        <f>+G111</f>
        <v/>
      </c>
      <c r="H64" s="228">
        <f>+H111</f>
        <v/>
      </c>
      <c r="I64" s="228">
        <f>+I111</f>
        <v/>
      </c>
      <c r="J64" s="228">
        <f>+J111</f>
        <v/>
      </c>
    </row>
    <row r="65" ht="12.75" customHeight="1" s="148">
      <c r="B65" s="213" t="inlineStr">
        <is>
          <t>Term Loan</t>
        </is>
      </c>
      <c r="E65" s="228">
        <f>+E11</f>
        <v/>
      </c>
      <c r="F65" s="228">
        <f>+F121</f>
        <v/>
      </c>
      <c r="G65" s="228">
        <f>+G121</f>
        <v/>
      </c>
      <c r="H65" s="228">
        <f>+H121</f>
        <v/>
      </c>
      <c r="I65" s="228">
        <f>+I121</f>
        <v/>
      </c>
      <c r="J65" s="228">
        <f>+J121</f>
        <v/>
      </c>
    </row>
    <row r="66" ht="12.75" customHeight="1" s="148">
      <c r="B66" s="213" t="inlineStr">
        <is>
          <t>Mezz Loan</t>
        </is>
      </c>
      <c r="E66" s="228">
        <f>+E12</f>
        <v/>
      </c>
      <c r="F66" s="228">
        <f>+F132</f>
        <v/>
      </c>
      <c r="G66" s="228">
        <f>+G132</f>
        <v/>
      </c>
      <c r="H66" s="228">
        <f>+H132</f>
        <v/>
      </c>
      <c r="I66" s="228">
        <f>+I132</f>
        <v/>
      </c>
      <c r="J66" s="228">
        <f>+J132</f>
        <v/>
      </c>
    </row>
    <row r="67" ht="12.75" customHeight="1" s="148">
      <c r="B67" s="233" t="inlineStr">
        <is>
          <t>Total Debt</t>
        </is>
      </c>
      <c r="C67" s="233" t="n"/>
      <c r="D67" s="233" t="n"/>
      <c r="E67" s="234">
        <f>SUM(E64:E66)</f>
        <v/>
      </c>
      <c r="F67" s="234">
        <f>SUM(F64:F66)</f>
        <v/>
      </c>
      <c r="G67" s="234">
        <f>SUM(G64:G66)</f>
        <v/>
      </c>
      <c r="H67" s="234">
        <f>SUM(H64:H66)</f>
        <v/>
      </c>
      <c r="I67" s="234">
        <f>SUM(I64:I66)</f>
        <v/>
      </c>
      <c r="J67" s="234">
        <f>SUM(J64:J66)</f>
        <v/>
      </c>
    </row>
    <row r="68" ht="12.75" customHeight="1" s="148">
      <c r="B68" s="213" t="inlineStr">
        <is>
          <t>Equity</t>
        </is>
      </c>
      <c r="E68" s="228">
        <f>SUM(E13:E14)-J12</f>
        <v/>
      </c>
      <c r="F68" s="228">
        <f>+E68+F40</f>
        <v/>
      </c>
      <c r="G68" s="228">
        <f>+F68+G40</f>
        <v/>
      </c>
      <c r="H68" s="228">
        <f>+G68+H40</f>
        <v/>
      </c>
      <c r="I68" s="228">
        <f>+H68+I40</f>
        <v/>
      </c>
      <c r="J68" s="228">
        <f>+I68+J40</f>
        <v/>
      </c>
    </row>
    <row r="69" ht="12.75" customHeight="1" s="148">
      <c r="B69" s="233" t="inlineStr">
        <is>
          <t>Total Cap</t>
        </is>
      </c>
      <c r="C69" s="233" t="n"/>
      <c r="D69" s="233" t="n"/>
      <c r="E69" s="234">
        <f>SUM(E67:E68)</f>
        <v/>
      </c>
      <c r="F69" s="234">
        <f>SUM(F67:F68)</f>
        <v/>
      </c>
      <c r="G69" s="234">
        <f>SUM(G67:G68)</f>
        <v/>
      </c>
      <c r="H69" s="234">
        <f>SUM(H67:H68)</f>
        <v/>
      </c>
      <c r="I69" s="234">
        <f>SUM(I67:I68)</f>
        <v/>
      </c>
      <c r="J69" s="234">
        <f>SUM(J67:J68)</f>
        <v/>
      </c>
    </row>
    <row r="71" ht="12.75" customHeight="1" s="148">
      <c r="B71" s="213" t="inlineStr">
        <is>
          <t>Term Loan / EBITDA</t>
        </is>
      </c>
      <c r="E71" s="250">
        <f>+E65/$E$31</f>
        <v/>
      </c>
      <c r="F71" s="250">
        <f>+F65/$E$31</f>
        <v/>
      </c>
      <c r="G71" s="250">
        <f>+G65/$E$31</f>
        <v/>
      </c>
      <c r="H71" s="250">
        <f>+H65/$E$31</f>
        <v/>
      </c>
      <c r="I71" s="250">
        <f>+I65/$E$31</f>
        <v/>
      </c>
      <c r="J71" s="250">
        <f>+J65/$E$31</f>
        <v/>
      </c>
    </row>
    <row r="72" ht="12.75" customHeight="1" s="148">
      <c r="B72" s="213" t="inlineStr">
        <is>
          <t>Mezz Loan / EBITDA</t>
        </is>
      </c>
      <c r="E72" s="250">
        <f>+E66/$E$31</f>
        <v/>
      </c>
      <c r="F72" s="250">
        <f>+F66/$E$31</f>
        <v/>
      </c>
      <c r="G72" s="250">
        <f>+G66/$E$31</f>
        <v/>
      </c>
      <c r="H72" s="250">
        <f>+H66/$E$31</f>
        <v/>
      </c>
      <c r="I72" s="250">
        <f>+I66/$E$31</f>
        <v/>
      </c>
      <c r="J72" s="250">
        <f>+J66/$E$31</f>
        <v/>
      </c>
    </row>
    <row r="73" ht="12.75" customHeight="1" s="148">
      <c r="B73" s="213" t="inlineStr">
        <is>
          <t>Total Debt / EBITDA</t>
        </is>
      </c>
      <c r="E73" s="250">
        <f>+E67/$E$31</f>
        <v/>
      </c>
      <c r="F73" s="250">
        <f>+F67/$E$31</f>
        <v/>
      </c>
      <c r="G73" s="250">
        <f>+G67/$E$31</f>
        <v/>
      </c>
      <c r="H73" s="250">
        <f>+H67/$E$31</f>
        <v/>
      </c>
      <c r="I73" s="250">
        <f>+I67/$E$31</f>
        <v/>
      </c>
      <c r="J73" s="250">
        <f>+J67/$E$31</f>
        <v/>
      </c>
    </row>
    <row r="74" ht="12.75" customHeight="1" s="148">
      <c r="B74" s="213" t="inlineStr">
        <is>
          <t>Total Debt / Cap</t>
        </is>
      </c>
      <c r="E74" s="251">
        <f>+E67/E69</f>
        <v/>
      </c>
      <c r="F74" s="251">
        <f>+F67/F69</f>
        <v/>
      </c>
      <c r="G74" s="251">
        <f>+G67/G69</f>
        <v/>
      </c>
      <c r="H74" s="251">
        <f>+H67/H69</f>
        <v/>
      </c>
      <c r="I74" s="251">
        <f>+I67/I69</f>
        <v/>
      </c>
      <c r="J74" s="251">
        <f>+J67/J69</f>
        <v/>
      </c>
    </row>
    <row r="76" ht="12.75" customHeight="1" s="148">
      <c r="A76" s="213" t="inlineStr">
        <is>
          <t>x</t>
        </is>
      </c>
      <c r="B76" s="237" t="inlineStr">
        <is>
          <t>Cash Flow Statement</t>
        </is>
      </c>
      <c r="C76" s="237" t="n"/>
      <c r="D76" s="237" t="n"/>
      <c r="E76" s="237" t="n">
        <v>2013</v>
      </c>
      <c r="F76" s="237">
        <f>E76+1</f>
        <v/>
      </c>
      <c r="G76" s="237">
        <f>F76+1</f>
        <v/>
      </c>
      <c r="H76" s="237">
        <f>G76+1</f>
        <v/>
      </c>
      <c r="I76" s="237">
        <f>H76+1</f>
        <v/>
      </c>
      <c r="J76" s="237">
        <f>I76+1</f>
        <v/>
      </c>
    </row>
    <row r="77" ht="12.75" customHeight="1" s="148">
      <c r="B77" s="213" t="inlineStr">
        <is>
          <t>Net Income</t>
        </is>
      </c>
      <c r="F77" s="227">
        <f>+F40</f>
        <v/>
      </c>
      <c r="G77" s="227">
        <f>+G40</f>
        <v/>
      </c>
      <c r="H77" s="227">
        <f>+H40</f>
        <v/>
      </c>
      <c r="I77" s="227">
        <f>+I40</f>
        <v/>
      </c>
      <c r="J77" s="227">
        <f>+J40</f>
        <v/>
      </c>
    </row>
    <row r="78" ht="12.75" customHeight="1" s="148">
      <c r="B78" s="213" t="inlineStr">
        <is>
          <t>(+) D&amp;A</t>
        </is>
      </c>
      <c r="F78" s="227">
        <f>+-F33</f>
        <v/>
      </c>
      <c r="G78" s="227">
        <f>+-G33</f>
        <v/>
      </c>
      <c r="H78" s="227">
        <f>+-H33</f>
        <v/>
      </c>
      <c r="I78" s="227">
        <f>+-I33</f>
        <v/>
      </c>
      <c r="J78" s="227">
        <f>+-J33</f>
        <v/>
      </c>
    </row>
    <row r="79" ht="12.75" customHeight="1" s="148">
      <c r="B79" s="213" t="inlineStr">
        <is>
          <t>(-) DTL</t>
        </is>
      </c>
      <c r="F79" s="227">
        <f>+F43</f>
        <v/>
      </c>
      <c r="G79" s="227">
        <f>+G43</f>
        <v/>
      </c>
      <c r="H79" s="227">
        <f>+H43</f>
        <v/>
      </c>
      <c r="I79" s="227">
        <f>+I43</f>
        <v/>
      </c>
      <c r="J79" s="227">
        <f>+J43</f>
        <v/>
      </c>
    </row>
    <row r="80" ht="12.75" customHeight="1" s="148">
      <c r="B80" s="213" t="inlineStr">
        <is>
          <t>(+) PIK</t>
        </is>
      </c>
      <c r="F80" s="227">
        <f>-+F139</f>
        <v/>
      </c>
      <c r="G80" s="227">
        <f>-+G139</f>
        <v/>
      </c>
      <c r="H80" s="227">
        <f>-+H139</f>
        <v/>
      </c>
      <c r="I80" s="227">
        <f>-+I139</f>
        <v/>
      </c>
      <c r="J80" s="227">
        <f>-+J139</f>
        <v/>
      </c>
    </row>
    <row r="81" ht="12.75" customHeight="1" s="148">
      <c r="B81" s="213" t="inlineStr">
        <is>
          <t>(+) Amort Fee</t>
        </is>
      </c>
      <c r="F81" s="227">
        <f>+-F37</f>
        <v/>
      </c>
      <c r="G81" s="227">
        <f>+-G37</f>
        <v/>
      </c>
      <c r="H81" s="227">
        <f>+-H37</f>
        <v/>
      </c>
      <c r="I81" s="227">
        <f>+-I37</f>
        <v/>
      </c>
      <c r="J81" s="227">
        <f>+-J37</f>
        <v/>
      </c>
    </row>
    <row r="82" ht="12.75" customHeight="1" s="148">
      <c r="B82" s="213" t="inlineStr">
        <is>
          <t>(-) Change WC</t>
        </is>
      </c>
      <c r="F82" s="227">
        <f>+-F54</f>
        <v/>
      </c>
      <c r="G82" s="227">
        <f>+-G54</f>
        <v/>
      </c>
      <c r="H82" s="227">
        <f>+-H54</f>
        <v/>
      </c>
      <c r="I82" s="227">
        <f>+-I54</f>
        <v/>
      </c>
      <c r="J82" s="227">
        <f>+-J54</f>
        <v/>
      </c>
    </row>
    <row r="83" ht="12.75" customHeight="1" s="148">
      <c r="B83" s="233" t="inlineStr">
        <is>
          <t>CFO</t>
        </is>
      </c>
      <c r="C83" s="233" t="n"/>
      <c r="D83" s="233" t="n"/>
      <c r="E83" s="233" t="n"/>
      <c r="F83" s="234">
        <f>SUM(F77:F82)</f>
        <v/>
      </c>
      <c r="G83" s="234">
        <f>SUM(G77:G82)</f>
        <v/>
      </c>
      <c r="H83" s="234">
        <f>SUM(H77:H82)</f>
        <v/>
      </c>
      <c r="I83" s="234">
        <f>SUM(I77:I82)</f>
        <v/>
      </c>
      <c r="J83" s="234">
        <f>SUM(J77:J82)</f>
        <v/>
      </c>
    </row>
    <row r="84" ht="12.75" customHeight="1" s="148">
      <c r="F84" s="227" t="n"/>
      <c r="G84" s="227" t="n"/>
      <c r="H84" s="227" t="n"/>
      <c r="I84" s="227" t="n"/>
      <c r="J84" s="227" t="n"/>
    </row>
    <row r="85" ht="12.75" customHeight="1" s="148">
      <c r="B85" s="213" t="inlineStr">
        <is>
          <t>Capex</t>
        </is>
      </c>
      <c r="F85" s="227">
        <f>+-F44</f>
        <v/>
      </c>
      <c r="G85" s="227">
        <f>+-G44</f>
        <v/>
      </c>
      <c r="H85" s="227">
        <f>+-H44</f>
        <v/>
      </c>
      <c r="I85" s="227">
        <f>+-I44</f>
        <v/>
      </c>
      <c r="J85" s="227">
        <f>+-J44</f>
        <v/>
      </c>
    </row>
    <row r="86" ht="12.75" customHeight="1" s="148">
      <c r="B86" s="233" t="inlineStr">
        <is>
          <t>CFI</t>
        </is>
      </c>
      <c r="C86" s="233" t="n"/>
      <c r="D86" s="233" t="n"/>
      <c r="E86" s="233" t="n"/>
      <c r="F86" s="234">
        <f>SUM(F85)</f>
        <v/>
      </c>
      <c r="G86" s="234">
        <f>SUM(G85)</f>
        <v/>
      </c>
      <c r="H86" s="234">
        <f>SUM(H85)</f>
        <v/>
      </c>
      <c r="I86" s="234">
        <f>SUM(I85)</f>
        <v/>
      </c>
      <c r="J86" s="234">
        <f>SUM(J85)</f>
        <v/>
      </c>
    </row>
    <row r="87" ht="12.75" customHeight="1" s="148">
      <c r="F87" s="227" t="n"/>
      <c r="G87" s="227" t="n"/>
      <c r="H87" s="227" t="n"/>
      <c r="I87" s="227" t="n"/>
      <c r="J87" s="227" t="n"/>
    </row>
    <row r="88" ht="12.75" customHeight="1" s="148">
      <c r="B88" s="213" t="inlineStr">
        <is>
          <t>Mand. Paymnet</t>
        </is>
      </c>
      <c r="F88" s="227">
        <f>+F119</f>
        <v/>
      </c>
      <c r="G88" s="227">
        <f>+G119</f>
        <v/>
      </c>
      <c r="H88" s="227">
        <f>+H119</f>
        <v/>
      </c>
      <c r="I88" s="227">
        <f>+I119</f>
        <v/>
      </c>
      <c r="J88" s="227">
        <f>+J119</f>
        <v/>
      </c>
    </row>
    <row r="89" ht="12.75" customHeight="1" s="148">
      <c r="B89" s="213" t="inlineStr">
        <is>
          <t>Optional Payment</t>
        </is>
      </c>
      <c r="F89" s="227">
        <f>+SUM(F100,F102,F104)</f>
        <v/>
      </c>
      <c r="G89" s="227">
        <f>+SUM(G100,G102,G104)</f>
        <v/>
      </c>
      <c r="H89" s="227">
        <f>+SUM(H100,H102,H104)</f>
        <v/>
      </c>
      <c r="I89" s="227">
        <f>+SUM(I100,I102,I104)</f>
        <v/>
      </c>
      <c r="J89" s="227">
        <f>+SUM(J100,J102,J104)</f>
        <v/>
      </c>
    </row>
    <row r="90" ht="12.75" customHeight="1" s="148">
      <c r="B90" s="233" t="inlineStr">
        <is>
          <t>CFF</t>
        </is>
      </c>
      <c r="C90" s="233" t="n"/>
      <c r="D90" s="233" t="n"/>
      <c r="E90" s="233" t="n"/>
      <c r="F90" s="234">
        <f>SUM(F88:F89)</f>
        <v/>
      </c>
      <c r="G90" s="234">
        <f>SUM(G88:G89)</f>
        <v/>
      </c>
      <c r="H90" s="234">
        <f>SUM(H88:H89)</f>
        <v/>
      </c>
      <c r="I90" s="234">
        <f>SUM(I88:I89)</f>
        <v/>
      </c>
      <c r="J90" s="234">
        <f>SUM(J88:J89)</f>
        <v/>
      </c>
    </row>
    <row r="91" ht="12.75" customHeight="1" s="148">
      <c r="F91" s="227" t="n"/>
      <c r="G91" s="227" t="n"/>
      <c r="H91" s="227" t="n"/>
      <c r="I91" s="227" t="n"/>
      <c r="J91" s="227" t="n"/>
    </row>
    <row r="92" ht="12.75" customHeight="1" s="148">
      <c r="B92" s="213" t="inlineStr">
        <is>
          <t>Change in Cash</t>
        </is>
      </c>
      <c r="F92" s="227">
        <f>+SUM(F83,F86,F90)</f>
        <v/>
      </c>
      <c r="G92" s="227">
        <f>+SUM(G83,G86,G90)</f>
        <v/>
      </c>
      <c r="H92" s="227">
        <f>+SUM(H83,H86,H90)</f>
        <v/>
      </c>
      <c r="I92" s="227">
        <f>+SUM(I83,I86,I90)</f>
        <v/>
      </c>
      <c r="J92" s="227">
        <f>+SUM(J83,J86,J90)</f>
        <v/>
      </c>
    </row>
    <row r="94" ht="12.75" customHeight="1" s="148">
      <c r="A94" s="213" t="inlineStr">
        <is>
          <t>x</t>
        </is>
      </c>
      <c r="B94" s="237" t="inlineStr">
        <is>
          <t>Debt Paydown</t>
        </is>
      </c>
      <c r="C94" s="237" t="n"/>
      <c r="D94" s="237" t="n"/>
      <c r="E94" s="237" t="n">
        <v>2013</v>
      </c>
      <c r="F94" s="237">
        <f>E94+1</f>
        <v/>
      </c>
      <c r="G94" s="237">
        <f>F94+1</f>
        <v/>
      </c>
      <c r="H94" s="237">
        <f>G94+1</f>
        <v/>
      </c>
      <c r="I94" s="237">
        <f>H94+1</f>
        <v/>
      </c>
      <c r="J94" s="237">
        <f>I94+1</f>
        <v/>
      </c>
    </row>
    <row r="95" ht="12.75" customHeight="1" s="148">
      <c r="B95" s="213" t="inlineStr">
        <is>
          <t>Beg Cash</t>
        </is>
      </c>
      <c r="E95" s="227" t="n"/>
      <c r="F95" s="227">
        <f>+E62</f>
        <v/>
      </c>
      <c r="G95" s="227">
        <f>+F62</f>
        <v/>
      </c>
      <c r="H95" s="227">
        <f>+G62</f>
        <v/>
      </c>
      <c r="I95" s="227">
        <f>+H62</f>
        <v/>
      </c>
      <c r="J95" s="227">
        <f>+I62</f>
        <v/>
      </c>
    </row>
    <row r="96" ht="12.75" customHeight="1" s="148">
      <c r="B96" s="213" t="inlineStr">
        <is>
          <t>(-) Min Cash</t>
        </is>
      </c>
      <c r="E96" s="227" t="n"/>
      <c r="F96" s="249" t="n">
        <v>-40</v>
      </c>
      <c r="G96" s="249" t="n">
        <v>-40</v>
      </c>
      <c r="H96" s="249" t="n">
        <v>-40</v>
      </c>
      <c r="I96" s="249" t="n">
        <v>-40</v>
      </c>
      <c r="J96" s="249" t="n">
        <v>-40</v>
      </c>
    </row>
    <row r="97" ht="12.75" customHeight="1" s="148">
      <c r="B97" s="213" t="inlineStr">
        <is>
          <t>(+) CFO + CFI</t>
        </is>
      </c>
      <c r="E97" s="227" t="n"/>
      <c r="F97" s="227">
        <f>+F83+F86</f>
        <v/>
      </c>
      <c r="G97" s="227">
        <f>+G83+G86</f>
        <v/>
      </c>
      <c r="H97" s="227">
        <f>+H83+H86</f>
        <v/>
      </c>
      <c r="I97" s="227">
        <f>+I83+I86</f>
        <v/>
      </c>
      <c r="J97" s="227">
        <f>+J83+J86</f>
        <v/>
      </c>
    </row>
    <row r="98" ht="12.75" customHeight="1" s="148">
      <c r="B98" s="213" t="inlineStr">
        <is>
          <t>(-) Mand. Payment</t>
        </is>
      </c>
      <c r="E98" s="227" t="n"/>
      <c r="F98" s="227">
        <f>+F88</f>
        <v/>
      </c>
      <c r="G98" s="227">
        <f>+G88</f>
        <v/>
      </c>
      <c r="H98" s="227">
        <f>+H88</f>
        <v/>
      </c>
      <c r="I98" s="227">
        <f>+I88</f>
        <v/>
      </c>
      <c r="J98" s="227">
        <f>+J88</f>
        <v/>
      </c>
    </row>
    <row r="99" ht="12.75" customHeight="1" s="148">
      <c r="B99" s="233" t="inlineStr">
        <is>
          <t>Cash Avail for Revolver</t>
        </is>
      </c>
      <c r="C99" s="233" t="n"/>
      <c r="D99" s="233" t="n"/>
      <c r="E99" s="234" t="n"/>
      <c r="F99" s="234">
        <f>SUM(F95:F98)</f>
        <v/>
      </c>
      <c r="G99" s="234">
        <f>SUM(G95:G98)</f>
        <v/>
      </c>
      <c r="H99" s="234">
        <f>SUM(H95:H98)</f>
        <v/>
      </c>
      <c r="I99" s="234">
        <f>SUM(I95:I98)</f>
        <v/>
      </c>
      <c r="J99" s="234">
        <f>SUM(J95:J98)</f>
        <v/>
      </c>
    </row>
    <row r="100" ht="12.75" customHeight="1" s="148">
      <c r="B100" s="213" t="inlineStr">
        <is>
          <t>(-) Drawdown / Paydown</t>
        </is>
      </c>
      <c r="E100" s="227" t="n"/>
      <c r="F100" s="227">
        <f>+SUM(F109:F110)</f>
        <v/>
      </c>
      <c r="G100" s="227">
        <f>+SUM(G109:G110)</f>
        <v/>
      </c>
      <c r="H100" s="227">
        <f>+SUM(H109:H110)</f>
        <v/>
      </c>
      <c r="I100" s="227">
        <f>+SUM(I109:I110)</f>
        <v/>
      </c>
      <c r="J100" s="227">
        <f>+SUM(J109:J110)</f>
        <v/>
      </c>
    </row>
    <row r="101" ht="12.75" customHeight="1" s="148">
      <c r="B101" s="233" t="inlineStr">
        <is>
          <t>Cash Avail for Term Loan</t>
        </is>
      </c>
      <c r="C101" s="233" t="n"/>
      <c r="D101" s="233" t="n"/>
      <c r="E101" s="234" t="n"/>
      <c r="F101" s="234">
        <f>SUM(F99:F100)</f>
        <v/>
      </c>
      <c r="G101" s="234">
        <f>SUM(G99:G100)</f>
        <v/>
      </c>
      <c r="H101" s="234">
        <f>SUM(H99:H100)</f>
        <v/>
      </c>
      <c r="I101" s="234">
        <f>SUM(I99:I100)</f>
        <v/>
      </c>
      <c r="J101" s="234">
        <f>SUM(J99:J100)</f>
        <v/>
      </c>
    </row>
    <row r="102" ht="12.75" customHeight="1" s="148">
      <c r="B102" s="213" t="inlineStr">
        <is>
          <t>(-) Paydown</t>
        </is>
      </c>
      <c r="E102" s="227" t="n"/>
      <c r="F102" s="227">
        <f>+F120</f>
        <v/>
      </c>
      <c r="G102" s="227">
        <f>+G120</f>
        <v/>
      </c>
      <c r="H102" s="227">
        <f>+H120</f>
        <v/>
      </c>
      <c r="I102" s="227">
        <f>+I120</f>
        <v/>
      </c>
      <c r="J102" s="227">
        <f>+J120</f>
        <v/>
      </c>
    </row>
    <row r="103" ht="12.75" customHeight="1" s="148">
      <c r="B103" s="233" t="inlineStr">
        <is>
          <t>Cash Avail for Mezz Loan</t>
        </is>
      </c>
      <c r="C103" s="233" t="n"/>
      <c r="D103" s="233" t="n"/>
      <c r="E103" s="234" t="n"/>
      <c r="F103" s="234">
        <f>SUM(F101:F102)</f>
        <v/>
      </c>
      <c r="G103" s="234">
        <f>SUM(G101:G102)</f>
        <v/>
      </c>
      <c r="H103" s="234">
        <f>SUM(H101:H102)</f>
        <v/>
      </c>
      <c r="I103" s="234">
        <f>SUM(I101:I102)</f>
        <v/>
      </c>
      <c r="J103" s="234">
        <f>SUM(J101:J102)</f>
        <v/>
      </c>
    </row>
    <row r="104" ht="12.75" customHeight="1" s="148">
      <c r="B104" s="213" t="inlineStr">
        <is>
          <t>(-) Paydown</t>
        </is>
      </c>
      <c r="E104" s="227" t="n"/>
      <c r="F104" s="227">
        <f>+F131</f>
        <v/>
      </c>
      <c r="G104" s="227">
        <f>+G131</f>
        <v/>
      </c>
      <c r="H104" s="227">
        <f>+H131</f>
        <v/>
      </c>
      <c r="I104" s="227">
        <f>+I131</f>
        <v/>
      </c>
      <c r="J104" s="227">
        <f>+J131</f>
        <v/>
      </c>
    </row>
    <row r="105" ht="12.75" customHeight="1" s="148">
      <c r="B105" s="233" t="inlineStr">
        <is>
          <t>Excess Cash</t>
        </is>
      </c>
      <c r="C105" s="233" t="n"/>
      <c r="D105" s="233" t="n"/>
      <c r="E105" s="234" t="n"/>
      <c r="F105" s="234">
        <f>SUM(F103:F104)</f>
        <v/>
      </c>
      <c r="G105" s="234">
        <f>SUM(G103:G104)</f>
        <v/>
      </c>
      <c r="H105" s="234">
        <f>SUM(H103:H104)</f>
        <v/>
      </c>
      <c r="I105" s="234">
        <f>SUM(I103:I104)</f>
        <v/>
      </c>
      <c r="J105" s="234">
        <f>SUM(J103:J104)</f>
        <v/>
      </c>
    </row>
    <row r="106" ht="12.75" customHeight="1" s="148">
      <c r="E106" s="227" t="n"/>
      <c r="F106" s="227" t="n"/>
      <c r="G106" s="227" t="n"/>
      <c r="H106" s="227" t="n"/>
      <c r="I106" s="227" t="n"/>
      <c r="J106" s="227" t="n"/>
    </row>
    <row r="107" ht="12.75" customHeight="1" s="148">
      <c r="B107" s="245" t="inlineStr">
        <is>
          <t>Revolver</t>
        </is>
      </c>
      <c r="E107" s="227" t="n"/>
      <c r="F107" s="227" t="n"/>
      <c r="G107" s="227" t="n"/>
      <c r="H107" s="227" t="n"/>
      <c r="I107" s="227" t="n"/>
      <c r="J107" s="227" t="n"/>
    </row>
    <row r="108" ht="12.75" customHeight="1" s="148">
      <c r="B108" s="213" t="inlineStr">
        <is>
          <t>Beg</t>
        </is>
      </c>
      <c r="E108" s="227" t="n"/>
      <c r="F108" s="227">
        <f>+E111</f>
        <v/>
      </c>
      <c r="G108" s="227">
        <f>+F111</f>
        <v/>
      </c>
      <c r="H108" s="227">
        <f>+G111</f>
        <v/>
      </c>
      <c r="I108" s="227">
        <f>+H111</f>
        <v/>
      </c>
      <c r="J108" s="227">
        <f>+I111</f>
        <v/>
      </c>
    </row>
    <row r="109" ht="12.75" customHeight="1" s="148">
      <c r="B109" s="213" t="inlineStr">
        <is>
          <t>Drawdown</t>
        </is>
      </c>
      <c r="E109" s="227" t="n"/>
      <c r="F109" s="227">
        <f>+-MIN(F99,0)</f>
        <v/>
      </c>
      <c r="G109" s="227">
        <f>+-MIN(G99,0)</f>
        <v/>
      </c>
      <c r="H109" s="227">
        <f>+-MIN(H99,0)</f>
        <v/>
      </c>
      <c r="I109" s="227">
        <f>+-MIN(I99,0)</f>
        <v/>
      </c>
      <c r="J109" s="227">
        <f>+-MIN(J99,0)</f>
        <v/>
      </c>
    </row>
    <row r="110" ht="12.75" customHeight="1" s="148">
      <c r="B110" s="213" t="inlineStr">
        <is>
          <t>Paydown</t>
        </is>
      </c>
      <c r="E110" s="227" t="n"/>
      <c r="F110" s="227">
        <f>+IF(F108&gt;0,-MIN(F108,MAX(F99,0)),0)</f>
        <v/>
      </c>
      <c r="G110" s="227">
        <f>+IF(G108&gt;0,-MIN(G108,MAX(G99,0)),0)</f>
        <v/>
      </c>
      <c r="H110" s="227">
        <f>+IF(H108&gt;0,-MIN(H108,MAX(H99,0)),0)</f>
        <v/>
      </c>
      <c r="I110" s="227">
        <f>+IF(I108&gt;0,-MIN(I108,MAX(I99,0)),0)</f>
        <v/>
      </c>
      <c r="J110" s="227">
        <f>+IF(J108&gt;0,-MIN(J108,MAX(J99,0)),0)</f>
        <v/>
      </c>
    </row>
    <row r="111" ht="12.75" customHeight="1" s="148">
      <c r="B111" s="233" t="inlineStr">
        <is>
          <t>End</t>
        </is>
      </c>
      <c r="C111" s="233" t="n"/>
      <c r="D111" s="233" t="n"/>
      <c r="E111" s="252" t="n">
        <v>0</v>
      </c>
      <c r="F111" s="234">
        <f>SUM(F108:F110)</f>
        <v/>
      </c>
      <c r="G111" s="234">
        <f>SUM(G108:G110)</f>
        <v/>
      </c>
      <c r="H111" s="234">
        <f>SUM(H108:H110)</f>
        <v/>
      </c>
      <c r="I111" s="234">
        <f>SUM(I108:I110)</f>
        <v/>
      </c>
      <c r="J111" s="234">
        <f>SUM(J108:J110)</f>
        <v/>
      </c>
    </row>
    <row r="112" ht="12.75" customHeight="1" s="148">
      <c r="E112" s="227" t="n"/>
      <c r="F112" s="227" t="n"/>
      <c r="G112" s="227" t="n"/>
      <c r="H112" s="227" t="n"/>
      <c r="I112" s="227" t="n"/>
      <c r="J112" s="227" t="n"/>
    </row>
    <row r="113" ht="12.75" customHeight="1" s="148">
      <c r="B113" s="213" t="inlineStr">
        <is>
          <t>Avg</t>
        </is>
      </c>
      <c r="E113" s="227" t="n"/>
      <c r="F113" s="227">
        <f>+E111</f>
        <v/>
      </c>
      <c r="G113" s="227">
        <f>+F111</f>
        <v/>
      </c>
      <c r="H113" s="227">
        <f>+G111</f>
        <v/>
      </c>
      <c r="I113" s="227">
        <f>+H111</f>
        <v/>
      </c>
      <c r="J113" s="227">
        <f>+I111</f>
        <v/>
      </c>
    </row>
    <row r="114" ht="12.75" customHeight="1" s="148">
      <c r="B114" s="213" t="inlineStr">
        <is>
          <t>Interest Rate</t>
        </is>
      </c>
      <c r="F114" s="221" t="n">
        <v>0.07000000000000001</v>
      </c>
      <c r="G114" s="244">
        <f>+F114</f>
        <v/>
      </c>
      <c r="H114" s="244">
        <f>+G114</f>
        <v/>
      </c>
      <c r="I114" s="244">
        <f>+H114</f>
        <v/>
      </c>
      <c r="J114" s="244">
        <f>+I114</f>
        <v/>
      </c>
    </row>
    <row r="115" ht="12.75" customHeight="1" s="148">
      <c r="B115" s="213" t="inlineStr">
        <is>
          <t>Int Expense</t>
        </is>
      </c>
      <c r="E115" s="227" t="n"/>
      <c r="F115" s="227">
        <f>+-F113*F114</f>
        <v/>
      </c>
      <c r="G115" s="227">
        <f>+-G113*G114</f>
        <v/>
      </c>
      <c r="H115" s="227">
        <f>+-H113*H114</f>
        <v/>
      </c>
      <c r="I115" s="227">
        <f>+-I113*I114</f>
        <v/>
      </c>
      <c r="J115" s="227">
        <f>+-J113*J114</f>
        <v/>
      </c>
    </row>
    <row r="116" ht="12.75" customHeight="1" s="148">
      <c r="E116" s="227" t="n"/>
      <c r="F116" s="227" t="n"/>
      <c r="G116" s="227" t="n"/>
      <c r="H116" s="227" t="n"/>
      <c r="I116" s="227" t="n"/>
      <c r="J116" s="227" t="n"/>
    </row>
    <row r="117" ht="12.75" customHeight="1" s="148">
      <c r="B117" s="245" t="inlineStr">
        <is>
          <t>Term Loan</t>
        </is>
      </c>
      <c r="E117" s="227" t="n"/>
      <c r="F117" s="227" t="n"/>
      <c r="G117" s="227" t="n"/>
      <c r="H117" s="227" t="n"/>
      <c r="I117" s="227" t="n"/>
      <c r="J117" s="227" t="n"/>
    </row>
    <row r="118" ht="12.75" customHeight="1" s="148">
      <c r="B118" s="213" t="inlineStr">
        <is>
          <t>Beg</t>
        </is>
      </c>
      <c r="E118" s="227" t="n"/>
      <c r="F118" s="227">
        <f>+E121</f>
        <v/>
      </c>
      <c r="G118" s="227">
        <f>+F121</f>
        <v/>
      </c>
      <c r="H118" s="227">
        <f>+G121</f>
        <v/>
      </c>
      <c r="I118" s="227">
        <f>+H121</f>
        <v/>
      </c>
      <c r="J118" s="227">
        <f>+I121</f>
        <v/>
      </c>
    </row>
    <row r="119" ht="12.75" customHeight="1" s="148">
      <c r="B119" s="213" t="inlineStr">
        <is>
          <t>Mand. Amort</t>
        </is>
      </c>
      <c r="E119" s="227" t="n"/>
      <c r="F119" s="253">
        <f>-IF($E$121+F118*F126&gt;0,$E$121*F126,0)</f>
        <v/>
      </c>
      <c r="G119" s="253">
        <f>-IF($E$121+G118*G126&gt;0,$E$121*G126,0)</f>
        <v/>
      </c>
      <c r="H119" s="253">
        <f>-IF($E$121+H118*H126&gt;0,$E$121*H126,0)</f>
        <v/>
      </c>
      <c r="I119" s="253">
        <f>-IF($E$121+I118*I126&gt;0,$E$121*I126,0)</f>
        <v/>
      </c>
      <c r="J119" s="253">
        <f>-IF($E$121+J118*J126&gt;0,$E$121*J126,0)</f>
        <v/>
      </c>
    </row>
    <row r="120" ht="12.75" customHeight="1" s="148">
      <c r="B120" s="213" t="inlineStr">
        <is>
          <t>Paydown</t>
        </is>
      </c>
      <c r="E120" s="227" t="n"/>
      <c r="F120" s="227">
        <f>+-MIN(SUM(F118:F119),MAX(F101,0))</f>
        <v/>
      </c>
      <c r="G120" s="227">
        <f>+-MIN(SUM(G118:G119),MAX(G101,0))</f>
        <v/>
      </c>
      <c r="H120" s="227">
        <f>+-MIN(SUM(H118:H119),MAX(H101,0))</f>
        <v/>
      </c>
      <c r="I120" s="227">
        <f>+-MIN(SUM(I118:I119),MAX(I101,0))</f>
        <v/>
      </c>
      <c r="J120" s="227">
        <f>+-MIN(SUM(J118:J119),MAX(J101,0))</f>
        <v/>
      </c>
    </row>
    <row r="121" ht="12.75" customHeight="1" s="148">
      <c r="B121" s="233" t="inlineStr">
        <is>
          <t>End</t>
        </is>
      </c>
      <c r="C121" s="233" t="n"/>
      <c r="D121" s="233" t="n"/>
      <c r="E121" s="252">
        <f>+E11</f>
        <v/>
      </c>
      <c r="F121" s="234">
        <f>SUM(F118:F120)</f>
        <v/>
      </c>
      <c r="G121" s="234">
        <f>SUM(G118:G120)</f>
        <v/>
      </c>
      <c r="H121" s="234">
        <f>SUM(H118:H120)</f>
        <v/>
      </c>
      <c r="I121" s="234">
        <f>SUM(I118:I120)</f>
        <v/>
      </c>
      <c r="J121" s="234">
        <f>SUM(J118:J120)</f>
        <v/>
      </c>
    </row>
    <row r="122" ht="12.75" customHeight="1" s="148">
      <c r="E122" s="227" t="n"/>
      <c r="F122" s="227" t="n"/>
      <c r="G122" s="227" t="n"/>
      <c r="H122" s="227" t="n"/>
      <c r="I122" s="227" t="n"/>
      <c r="J122" s="227" t="n"/>
    </row>
    <row r="123" ht="12.75" customHeight="1" s="148">
      <c r="B123" s="213" t="inlineStr">
        <is>
          <t>Avg</t>
        </is>
      </c>
      <c r="E123" s="227" t="n"/>
      <c r="F123" s="227">
        <f>+E121</f>
        <v/>
      </c>
      <c r="G123" s="227">
        <f>+F121</f>
        <v/>
      </c>
      <c r="H123" s="227">
        <f>+G121</f>
        <v/>
      </c>
      <c r="I123" s="227">
        <f>+H121</f>
        <v/>
      </c>
      <c r="J123" s="227">
        <f>+I121</f>
        <v/>
      </c>
    </row>
    <row r="124" ht="12.75" customHeight="1" s="148">
      <c r="B124" s="213" t="inlineStr">
        <is>
          <t>Interest Rate</t>
        </is>
      </c>
      <c r="F124" s="221" t="n">
        <v>0.0575</v>
      </c>
      <c r="G124" s="244">
        <f>+F124</f>
        <v/>
      </c>
      <c r="H124" s="244">
        <f>+G124</f>
        <v/>
      </c>
      <c r="I124" s="244">
        <f>+H124</f>
        <v/>
      </c>
      <c r="J124" s="244">
        <f>+I124</f>
        <v/>
      </c>
    </row>
    <row r="125" ht="12.75" customHeight="1" s="148">
      <c r="B125" s="213" t="inlineStr">
        <is>
          <t>Int Expense</t>
        </is>
      </c>
      <c r="E125" s="227" t="n"/>
      <c r="F125" s="227">
        <f>+-F123*F124</f>
        <v/>
      </c>
      <c r="G125" s="227">
        <f>+-G123*G124</f>
        <v/>
      </c>
      <c r="H125" s="227">
        <f>+-H123*H124</f>
        <v/>
      </c>
      <c r="I125" s="227">
        <f>+-I123*I124</f>
        <v/>
      </c>
      <c r="J125" s="227">
        <f>+-J123*J124</f>
        <v/>
      </c>
    </row>
    <row r="126" ht="12.75" customHeight="1" s="148">
      <c r="B126" s="213" t="inlineStr">
        <is>
          <t>Mand. Amort</t>
        </is>
      </c>
      <c r="F126" s="221" t="n">
        <v>0.01</v>
      </c>
      <c r="G126" s="244">
        <f>+F126</f>
        <v/>
      </c>
      <c r="H126" s="244">
        <f>+G126</f>
        <v/>
      </c>
      <c r="I126" s="244">
        <f>+H126</f>
        <v/>
      </c>
      <c r="J126" s="244">
        <f>+I126</f>
        <v/>
      </c>
    </row>
    <row r="128" ht="12.75" customHeight="1" s="148">
      <c r="B128" s="245" t="inlineStr">
        <is>
          <t>Mezz Loan</t>
        </is>
      </c>
    </row>
    <row r="129" ht="12.75" customHeight="1" s="148">
      <c r="B129" s="213" t="inlineStr">
        <is>
          <t>Beg</t>
        </is>
      </c>
      <c r="E129" s="227" t="n"/>
      <c r="F129" s="227">
        <f>+E132</f>
        <v/>
      </c>
      <c r="G129" s="227">
        <f>+F132</f>
        <v/>
      </c>
      <c r="H129" s="227">
        <f>+G132</f>
        <v/>
      </c>
      <c r="I129" s="227">
        <f>+H132</f>
        <v/>
      </c>
      <c r="J129" s="227">
        <f>+I132</f>
        <v/>
      </c>
    </row>
    <row r="130" ht="12.75" customHeight="1" s="148">
      <c r="B130" s="213" t="inlineStr">
        <is>
          <t>Accretion</t>
        </is>
      </c>
      <c r="E130" s="227" t="n"/>
      <c r="F130" s="227">
        <f>+-F139</f>
        <v/>
      </c>
      <c r="G130" s="227">
        <f>+-G139</f>
        <v/>
      </c>
      <c r="H130" s="227">
        <f>+-H139</f>
        <v/>
      </c>
      <c r="I130" s="227">
        <f>+-I139</f>
        <v/>
      </c>
      <c r="J130" s="227">
        <f>+-J139</f>
        <v/>
      </c>
    </row>
    <row r="131" ht="12.75" customHeight="1" s="148">
      <c r="B131" s="213" t="inlineStr">
        <is>
          <t>Paydown</t>
        </is>
      </c>
      <c r="E131" s="227" t="n"/>
      <c r="F131" s="227">
        <f>+IF(F103&gt;0,-MIN(SUM(F129:F130),F103),0)</f>
        <v/>
      </c>
      <c r="G131" s="227">
        <f>+IF(G103&gt;0,-MIN(SUM(G129:G130),G103),0)</f>
        <v/>
      </c>
      <c r="H131" s="227">
        <f>+IF(H103&gt;0,-MIN(SUM(H129:H130),H103),0)</f>
        <v/>
      </c>
      <c r="I131" s="227">
        <f>+IF(I103&gt;0,-MIN(SUM(I129:I130),I103),0)</f>
        <v/>
      </c>
      <c r="J131" s="227">
        <f>+IF(J103&gt;0,-MIN(SUM(J129:J130),J103),0)</f>
        <v/>
      </c>
    </row>
    <row r="132" ht="12.75" customHeight="1" s="148">
      <c r="B132" s="233" t="inlineStr">
        <is>
          <t>End</t>
        </is>
      </c>
      <c r="C132" s="233" t="n"/>
      <c r="D132" s="233" t="n"/>
      <c r="E132" s="252">
        <f>+E12</f>
        <v/>
      </c>
      <c r="F132" s="234">
        <f>SUM(F129:F131)</f>
        <v/>
      </c>
      <c r="G132" s="234">
        <f>SUM(G129:G131)</f>
        <v/>
      </c>
      <c r="H132" s="234">
        <f>SUM(H129:H131)</f>
        <v/>
      </c>
      <c r="I132" s="234">
        <f>SUM(I129:I131)</f>
        <v/>
      </c>
      <c r="J132" s="234">
        <f>SUM(J129:J131)</f>
        <v/>
      </c>
    </row>
    <row r="133" ht="12.75" customHeight="1" s="148">
      <c r="E133" s="227" t="n"/>
      <c r="F133" s="227" t="n"/>
      <c r="G133" s="227" t="n"/>
      <c r="H133" s="227" t="n"/>
      <c r="I133" s="227" t="n"/>
      <c r="J133" s="227" t="n"/>
    </row>
    <row r="134" ht="12.75" customHeight="1" s="148">
      <c r="B134" s="213" t="inlineStr">
        <is>
          <t>Avg</t>
        </is>
      </c>
      <c r="E134" s="227" t="n"/>
      <c r="F134" s="227">
        <f>+E132</f>
        <v/>
      </c>
      <c r="G134" s="227">
        <f>+F132</f>
        <v/>
      </c>
      <c r="H134" s="227">
        <f>+G132</f>
        <v/>
      </c>
      <c r="I134" s="227">
        <f>+H132</f>
        <v/>
      </c>
      <c r="J134" s="227">
        <f>+I132</f>
        <v/>
      </c>
    </row>
    <row r="135" ht="12.75" customHeight="1" s="148">
      <c r="B135" s="213" t="inlineStr">
        <is>
          <t>Interest Rate</t>
        </is>
      </c>
      <c r="F135" s="221" t="n">
        <v>0.1025</v>
      </c>
      <c r="G135" s="244">
        <f>+F135</f>
        <v/>
      </c>
      <c r="H135" s="244">
        <f>+G135</f>
        <v/>
      </c>
      <c r="I135" s="244">
        <f>+H135</f>
        <v/>
      </c>
      <c r="J135" s="244">
        <f>+I135</f>
        <v/>
      </c>
    </row>
    <row r="136" ht="12.75" customHeight="1" s="148">
      <c r="B136" s="213" t="inlineStr">
        <is>
          <t>Int Expense</t>
        </is>
      </c>
      <c r="E136" s="227" t="n"/>
      <c r="F136" s="227">
        <f>+-F134*F135</f>
        <v/>
      </c>
      <c r="G136" s="227">
        <f>+-G134*G135</f>
        <v/>
      </c>
      <c r="H136" s="227">
        <f>+-H134*H135</f>
        <v/>
      </c>
      <c r="I136" s="227">
        <f>+-I134*I135</f>
        <v/>
      </c>
      <c r="J136" s="227">
        <f>+-J134*J135</f>
        <v/>
      </c>
    </row>
    <row r="138" ht="12.75" customHeight="1" s="148">
      <c r="B138" s="213" t="inlineStr">
        <is>
          <t>PIK Rate</t>
        </is>
      </c>
      <c r="F138" s="221" t="n">
        <v>0</v>
      </c>
      <c r="G138" s="244">
        <f>+F138</f>
        <v/>
      </c>
      <c r="H138" s="244">
        <f>+G138</f>
        <v/>
      </c>
      <c r="I138" s="244">
        <f>+H138</f>
        <v/>
      </c>
      <c r="J138" s="244">
        <f>+I138</f>
        <v/>
      </c>
    </row>
    <row r="139" ht="12.75" customHeight="1" s="148">
      <c r="B139" s="213" t="inlineStr">
        <is>
          <t>PIK Expense</t>
        </is>
      </c>
      <c r="E139" s="227" t="n"/>
      <c r="F139" s="227">
        <f>+E132*-F138</f>
        <v/>
      </c>
      <c r="G139" s="227">
        <f>+F132*-G138</f>
        <v/>
      </c>
      <c r="H139" s="227">
        <f>+G132*-H138</f>
        <v/>
      </c>
      <c r="I139" s="227">
        <f>+H132*-I138</f>
        <v/>
      </c>
      <c r="J139" s="227">
        <f>+I132*-J138</f>
        <v/>
      </c>
    </row>
    <row r="140" ht="12.75" customHeight="1" s="148">
      <c r="E140" s="227" t="n"/>
      <c r="F140" s="227" t="n"/>
      <c r="G140" s="227" t="n"/>
      <c r="H140" s="227" t="n"/>
      <c r="I140" s="227" t="n"/>
      <c r="J140" s="227" t="n"/>
    </row>
    <row r="141" ht="12.75" customHeight="1" s="148">
      <c r="B141" s="245" t="inlineStr">
        <is>
          <t>Cash</t>
        </is>
      </c>
      <c r="E141" s="227" t="n"/>
      <c r="F141" s="227" t="n"/>
      <c r="G141" s="227" t="n"/>
      <c r="H141" s="227" t="n"/>
      <c r="I141" s="227" t="n"/>
      <c r="J141" s="227" t="n"/>
    </row>
    <row r="142" ht="12.75" customHeight="1" s="148">
      <c r="B142" s="213" t="inlineStr">
        <is>
          <t>Beg</t>
        </is>
      </c>
      <c r="E142" s="227" t="n"/>
      <c r="F142" s="227">
        <f>+E144</f>
        <v/>
      </c>
      <c r="G142" s="227">
        <f>+F144</f>
        <v/>
      </c>
      <c r="H142" s="227">
        <f>+G144</f>
        <v/>
      </c>
      <c r="I142" s="227">
        <f>+H144</f>
        <v/>
      </c>
      <c r="J142" s="227">
        <f>+I144</f>
        <v/>
      </c>
    </row>
    <row r="143" ht="12.75" customHeight="1" s="148">
      <c r="B143" s="213" t="inlineStr">
        <is>
          <t>Change</t>
        </is>
      </c>
      <c r="E143" s="227" t="n"/>
      <c r="F143" s="227">
        <f>+F92</f>
        <v/>
      </c>
      <c r="G143" s="227">
        <f>+G92</f>
        <v/>
      </c>
      <c r="H143" s="227">
        <f>+H92</f>
        <v/>
      </c>
      <c r="I143" s="227">
        <f>+I92</f>
        <v/>
      </c>
      <c r="J143" s="227">
        <f>+J92</f>
        <v/>
      </c>
    </row>
    <row r="144" ht="12.75" customHeight="1" s="148">
      <c r="B144" s="233" t="inlineStr">
        <is>
          <t>End</t>
        </is>
      </c>
      <c r="C144" s="233" t="n"/>
      <c r="D144" s="233" t="n"/>
      <c r="E144" s="252" t="n">
        <v>0</v>
      </c>
      <c r="F144" s="234">
        <f>SUM(F142:F143)</f>
        <v/>
      </c>
      <c r="G144" s="234">
        <f>SUM(G142:G143)</f>
        <v/>
      </c>
      <c r="H144" s="234">
        <f>SUM(H142:H143)</f>
        <v/>
      </c>
      <c r="I144" s="234">
        <f>SUM(I142:I143)</f>
        <v/>
      </c>
      <c r="J144" s="234">
        <f>SUM(J142:J143)</f>
        <v/>
      </c>
    </row>
    <row r="145" ht="12.75" customHeight="1" s="148">
      <c r="E145" s="227" t="n"/>
      <c r="F145" s="227" t="n"/>
      <c r="G145" s="227" t="n"/>
      <c r="H145" s="227" t="n"/>
      <c r="I145" s="227" t="n"/>
      <c r="J145" s="227" t="n"/>
    </row>
    <row r="146" ht="12.75" customHeight="1" s="148">
      <c r="B146" s="213" t="inlineStr">
        <is>
          <t>Avg</t>
        </is>
      </c>
      <c r="E146" s="227" t="n"/>
      <c r="F146" s="227">
        <f>+E144</f>
        <v/>
      </c>
      <c r="G146" s="227">
        <f>+F144</f>
        <v/>
      </c>
      <c r="H146" s="227">
        <f>+G144</f>
        <v/>
      </c>
      <c r="I146" s="227">
        <f>+H144</f>
        <v/>
      </c>
      <c r="J146" s="227">
        <f>+I144</f>
        <v/>
      </c>
    </row>
    <row r="147" ht="12.75" customHeight="1" s="148">
      <c r="B147" s="213" t="inlineStr">
        <is>
          <t>Interest Rate</t>
        </is>
      </c>
      <c r="F147" s="221" t="n">
        <v>0.02</v>
      </c>
      <c r="G147" s="244">
        <f>+F147</f>
        <v/>
      </c>
      <c r="H147" s="244">
        <f>+G147</f>
        <v/>
      </c>
      <c r="I147" s="244">
        <f>+H147</f>
        <v/>
      </c>
      <c r="J147" s="244">
        <f>+I147</f>
        <v/>
      </c>
    </row>
    <row r="148" ht="12.75" customHeight="1" s="148">
      <c r="B148" s="213" t="inlineStr">
        <is>
          <t>Int Income</t>
        </is>
      </c>
      <c r="E148" s="227" t="n"/>
      <c r="F148" s="227">
        <f>+F146*F147</f>
        <v/>
      </c>
      <c r="G148" s="227">
        <f>+G146*G147</f>
        <v/>
      </c>
      <c r="H148" s="227">
        <f>+H146*H147</f>
        <v/>
      </c>
      <c r="I148" s="227">
        <f>+I146*I147</f>
        <v/>
      </c>
      <c r="J148" s="227">
        <f>+J146*J147</f>
        <v/>
      </c>
    </row>
    <row r="149" ht="12.75" customHeight="1" s="148">
      <c r="E149" s="227" t="n"/>
      <c r="F149" s="227" t="n"/>
      <c r="G149" s="227" t="n"/>
      <c r="H149" s="227" t="n"/>
      <c r="I149" s="227" t="n"/>
      <c r="J149" s="227" t="n"/>
    </row>
    <row r="150" ht="12.75" customHeight="1" s="148">
      <c r="B150" s="213" t="inlineStr">
        <is>
          <t>Total Interest Expense</t>
        </is>
      </c>
      <c r="E150" s="227" t="n"/>
      <c r="F150" s="227">
        <f>+F115+F125+F136+F139</f>
        <v/>
      </c>
      <c r="G150" s="227">
        <f>+G115+G125+G136+G139</f>
        <v/>
      </c>
      <c r="H150" s="227">
        <f>+H115+H125+H136+H139</f>
        <v/>
      </c>
      <c r="I150" s="227">
        <f>+I115+I125+I136+I139</f>
        <v/>
      </c>
      <c r="J150" s="227">
        <f>+J115+J125+J136+J139</f>
        <v/>
      </c>
    </row>
    <row r="151" ht="12.75" customHeight="1" s="148">
      <c r="F151" s="254" t="n"/>
      <c r="G151" s="254" t="n"/>
      <c r="H151" s="254" t="n"/>
      <c r="I151" s="254" t="n"/>
      <c r="J151" s="254" t="n"/>
    </row>
    <row r="152" ht="12.75" customHeight="1" s="148">
      <c r="A152" s="213" t="inlineStr">
        <is>
          <t>x</t>
        </is>
      </c>
      <c r="B152" s="237" t="inlineStr">
        <is>
          <t>Returns</t>
        </is>
      </c>
      <c r="C152" s="237" t="n"/>
      <c r="D152" s="237" t="n"/>
      <c r="E152" s="237" t="n">
        <v>2013</v>
      </c>
      <c r="F152" s="237">
        <f>E152+1</f>
        <v/>
      </c>
      <c r="G152" s="237">
        <f>F152+1</f>
        <v/>
      </c>
      <c r="H152" s="237">
        <f>G152+1</f>
        <v/>
      </c>
      <c r="I152" s="237">
        <f>H152+1</f>
        <v/>
      </c>
      <c r="J152" s="237">
        <f>I152+1</f>
        <v/>
      </c>
    </row>
    <row r="153" ht="12.75" customHeight="1" s="148">
      <c r="B153" s="213" t="inlineStr">
        <is>
          <t>EBITDA</t>
        </is>
      </c>
      <c r="E153" s="227" t="n"/>
      <c r="F153" s="227">
        <f>+F31</f>
        <v/>
      </c>
      <c r="G153" s="227">
        <f>+G31</f>
        <v/>
      </c>
      <c r="H153" s="227">
        <f>+H31</f>
        <v/>
      </c>
      <c r="I153" s="227">
        <f>+I31</f>
        <v/>
      </c>
      <c r="J153" s="227">
        <f>+J31</f>
        <v/>
      </c>
    </row>
    <row r="154" ht="12.75" customHeight="1" s="148">
      <c r="B154" s="213" t="inlineStr">
        <is>
          <t>Exit Multiple</t>
        </is>
      </c>
      <c r="F154" s="255">
        <f>+$E$4</f>
        <v/>
      </c>
      <c r="G154" s="255">
        <f>+$E$4</f>
        <v/>
      </c>
      <c r="H154" s="255">
        <f>+$E$4</f>
        <v/>
      </c>
      <c r="I154" s="255">
        <f>+$E$4</f>
        <v/>
      </c>
      <c r="J154" s="255">
        <f>+$E$4</f>
        <v/>
      </c>
    </row>
    <row r="155" ht="12.75" customHeight="1" s="148">
      <c r="B155" s="233" t="inlineStr">
        <is>
          <t>TEV</t>
        </is>
      </c>
      <c r="C155" s="233" t="n"/>
      <c r="D155" s="233" t="n"/>
      <c r="E155" s="234" t="n"/>
      <c r="F155" s="234">
        <f>+F153*F154</f>
        <v/>
      </c>
      <c r="G155" s="234">
        <f>+G153*G154</f>
        <v/>
      </c>
      <c r="H155" s="234">
        <f>+H153*H154</f>
        <v/>
      </c>
      <c r="I155" s="234">
        <f>+I153*I154</f>
        <v/>
      </c>
      <c r="J155" s="234">
        <f>+J153*J154</f>
        <v/>
      </c>
    </row>
    <row r="156" ht="12.75" customHeight="1" s="148">
      <c r="B156" s="213" t="inlineStr">
        <is>
          <t>(-) Net Debt</t>
        </is>
      </c>
      <c r="E156" s="227" t="n"/>
      <c r="F156" s="227">
        <f>+-F67+F62</f>
        <v/>
      </c>
      <c r="G156" s="227">
        <f>+-G67+G62</f>
        <v/>
      </c>
      <c r="H156" s="227">
        <f>+-H67+H62</f>
        <v/>
      </c>
      <c r="I156" s="227">
        <f>+-I67+I62</f>
        <v/>
      </c>
      <c r="J156" s="227">
        <f>+-J67+J62</f>
        <v/>
      </c>
    </row>
    <row r="157" ht="12.75" customHeight="1" s="148">
      <c r="B157" s="233" t="inlineStr">
        <is>
          <t>Total Equity Value</t>
        </is>
      </c>
      <c r="C157" s="233" t="n"/>
      <c r="D157" s="233" t="n"/>
      <c r="E157" s="234" t="n"/>
      <c r="F157" s="234">
        <f>+SUM(F155:F156)</f>
        <v/>
      </c>
      <c r="G157" s="234">
        <f>+SUM(G155:G156)</f>
        <v/>
      </c>
      <c r="H157" s="234">
        <f>+SUM(H155:H156)</f>
        <v/>
      </c>
      <c r="I157" s="234">
        <f>+SUM(I155:I156)</f>
        <v/>
      </c>
      <c r="J157" s="234">
        <f>+SUM(J155:J156)</f>
        <v/>
      </c>
    </row>
    <row r="158" ht="12.75" customHeight="1" s="148">
      <c r="B158" s="213" t="inlineStr">
        <is>
          <t>(-) Roll</t>
        </is>
      </c>
      <c r="E158" s="227" t="n"/>
      <c r="F158" s="227">
        <f>+-F157*$K$158</f>
        <v/>
      </c>
      <c r="G158" s="227">
        <f>+-G157*$K$158</f>
        <v/>
      </c>
      <c r="H158" s="227">
        <f>+-H157*$K$158</f>
        <v/>
      </c>
      <c r="I158" s="227">
        <f>+-I157*$K$158</f>
        <v/>
      </c>
      <c r="J158" s="227">
        <f>+-J157*$K$158</f>
        <v/>
      </c>
      <c r="K158" s="256">
        <f>E13/SUM(E13:E14)</f>
        <v/>
      </c>
    </row>
    <row r="159" ht="12.75" customHeight="1" s="148">
      <c r="B159" s="233" t="inlineStr">
        <is>
          <t>Sponsor Equity Value</t>
        </is>
      </c>
      <c r="C159" s="233" t="n"/>
      <c r="D159" s="233" t="n"/>
      <c r="E159" s="234" t="n"/>
      <c r="F159" s="234">
        <f>SUM(F157:F158)</f>
        <v/>
      </c>
      <c r="G159" s="234">
        <f>SUM(G157:G158)</f>
        <v/>
      </c>
      <c r="H159" s="234">
        <f>SUM(H157:H158)</f>
        <v/>
      </c>
      <c r="I159" s="234">
        <f>SUM(I157:I158)</f>
        <v/>
      </c>
      <c r="J159" s="234">
        <f>SUM(J157:J158)</f>
        <v/>
      </c>
    </row>
    <row r="160" ht="12.75" customHeight="1" s="148">
      <c r="E160" s="227" t="n"/>
      <c r="F160" s="227" t="n"/>
      <c r="G160" s="227" t="n"/>
      <c r="H160" s="227" t="n"/>
      <c r="I160" s="227" t="n"/>
      <c r="J160" s="227" t="n"/>
    </row>
    <row r="161" ht="12.75" customHeight="1" s="148">
      <c r="B161" s="257" t="n">
        <v>43312</v>
      </c>
      <c r="E161" s="227" t="n"/>
      <c r="F161" s="227">
        <f>+-$E$14</f>
        <v/>
      </c>
      <c r="G161" s="227">
        <f>+-$E$14</f>
        <v/>
      </c>
      <c r="H161" s="227">
        <f>+-$E$14</f>
        <v/>
      </c>
      <c r="I161" s="227">
        <f>+-$E$14</f>
        <v/>
      </c>
      <c r="J161" s="227">
        <f>+-$E$14</f>
        <v/>
      </c>
    </row>
    <row r="162" ht="12.75" customHeight="1" s="148">
      <c r="B162" s="258">
        <f>DATE(YEAR(B161)+1,MONTH(B161),DAY(B161))</f>
        <v/>
      </c>
      <c r="E162" s="227" t="n"/>
      <c r="F162" s="227">
        <f>+F159</f>
        <v/>
      </c>
      <c r="G162" s="227" t="n"/>
      <c r="H162" s="227" t="n"/>
      <c r="I162" s="227" t="n"/>
      <c r="J162" s="227" t="n"/>
    </row>
    <row r="163" ht="12.75" customHeight="1" s="148">
      <c r="B163" s="258">
        <f>DATE(YEAR(B162)+1,MONTH(B162),DAY(B162))</f>
        <v/>
      </c>
      <c r="E163" s="227" t="n"/>
      <c r="F163" s="227" t="n"/>
      <c r="G163" s="227">
        <f>+G159</f>
        <v/>
      </c>
      <c r="H163" s="227" t="n"/>
      <c r="I163" s="227" t="n"/>
      <c r="J163" s="227" t="n"/>
    </row>
    <row r="164" ht="12.75" customHeight="1" s="148">
      <c r="B164" s="258">
        <f>DATE(YEAR(B163)+1,MONTH(B163),DAY(B163))</f>
        <v/>
      </c>
      <c r="E164" s="227" t="n"/>
      <c r="F164" s="227" t="n"/>
      <c r="G164" s="227" t="n"/>
      <c r="H164" s="227">
        <f>+H159</f>
        <v/>
      </c>
      <c r="I164" s="227" t="n"/>
      <c r="J164" s="227" t="n"/>
    </row>
    <row r="165" ht="12.75" customHeight="1" s="148">
      <c r="B165" s="258">
        <f>DATE(YEAR(B164)+1,MONTH(B164),DAY(B164))</f>
        <v/>
      </c>
      <c r="E165" s="227" t="n"/>
      <c r="F165" s="227" t="n"/>
      <c r="G165" s="227" t="n"/>
      <c r="H165" s="227" t="n"/>
      <c r="I165" s="227">
        <f>+I159</f>
        <v/>
      </c>
      <c r="J165" s="227" t="n"/>
    </row>
    <row r="166" ht="12.75" customHeight="1" s="148">
      <c r="B166" s="258">
        <f>DATE(YEAR(B165)+1,MONTH(B165),DAY(B165))</f>
        <v/>
      </c>
      <c r="E166" s="227" t="n"/>
      <c r="F166" s="227" t="n"/>
      <c r="G166" s="227" t="n"/>
      <c r="H166" s="227" t="n"/>
      <c r="I166" s="227" t="n"/>
      <c r="J166" s="227">
        <f>+J159</f>
        <v/>
      </c>
    </row>
    <row r="167" ht="12.75" customHeight="1" s="148">
      <c r="B167" s="233" t="inlineStr">
        <is>
          <t>IRR</t>
        </is>
      </c>
      <c r="C167" s="233" t="n"/>
      <c r="D167" s="233" t="n"/>
      <c r="E167" s="233" t="n"/>
      <c r="F167" s="259">
        <f>IFERROR(XIRR(F161:F166,$B$161:$B$166),"n/m")</f>
        <v/>
      </c>
      <c r="G167" s="259">
        <f>IFERROR(XIRR(G161:G166,$B$161:$B$166),"n/m")</f>
        <v/>
      </c>
      <c r="H167" s="259">
        <f>IFERROR(XIRR(H161:H166,$B$161:$B$166),"n/m")</f>
        <v/>
      </c>
      <c r="I167" s="259">
        <f>IFERROR(XIRR(I161:I166,$B$161:$B$166),"n/m")</f>
        <v/>
      </c>
      <c r="J167" s="259">
        <f>IFERROR(XIRR(J161:J166,$B$161:$B$166),"n/m")</f>
        <v/>
      </c>
    </row>
    <row r="168" ht="12.75" customHeight="1" s="148">
      <c r="B168" s="213" t="inlineStr">
        <is>
          <t>Money Multiple</t>
        </is>
      </c>
      <c r="F168" s="255">
        <f>+F162/F161*-1</f>
        <v/>
      </c>
      <c r="G168" s="255">
        <f>+G163/G161*-1</f>
        <v/>
      </c>
      <c r="H168" s="255">
        <f>+H164/H161*-1</f>
        <v/>
      </c>
      <c r="I168" s="255">
        <f>+I165/I161*-1</f>
        <v/>
      </c>
      <c r="J168" s="255">
        <f>+J166/J161*-1</f>
        <v/>
      </c>
    </row>
    <row r="169" ht="12.75" customHeight="1" s="148">
      <c r="F169" s="254" t="n"/>
      <c r="G169" s="254" t="n"/>
      <c r="H169" s="254" t="n"/>
      <c r="I169" s="254" t="n"/>
      <c r="J169" s="254" t="n"/>
    </row>
    <row r="170" ht="12.75" customHeight="1" s="148">
      <c r="A170" s="213" t="inlineStr">
        <is>
          <t>q</t>
        </is>
      </c>
      <c r="B170" s="237" t="inlineStr">
        <is>
          <t>Sensitivity</t>
        </is>
      </c>
      <c r="C170" s="237" t="n"/>
      <c r="D170" s="237" t="n"/>
      <c r="E170" s="237" t="n"/>
      <c r="F170" s="237" t="n"/>
      <c r="G170" s="237" t="n"/>
      <c r="H170" s="237" t="n"/>
      <c r="I170" s="237" t="n"/>
      <c r="J170" s="237" t="n"/>
    </row>
    <row r="171" ht="12.75" customHeight="1" s="148">
      <c r="F171" s="254" t="n"/>
      <c r="G171" s="254" t="n"/>
      <c r="H171" s="254" t="n"/>
      <c r="I171" s="254" t="n"/>
      <c r="J171" s="254" t="n"/>
    </row>
    <row r="172" ht="12.75" customHeight="1" s="148">
      <c r="C172" s="213" t="inlineStr">
        <is>
          <t>IRR: entry multiple (down) vs exit multiple (across). Closed form on year-5 EBITDA, holding year-5 net debt and rollover constant.</t>
        </is>
      </c>
      <c r="D172" s="260" t="inlineStr">
        <is>
          <t>Exit Multiple</t>
        </is>
      </c>
      <c r="J172" s="254" t="n"/>
    </row>
    <row r="173" ht="12.75" customHeight="1" s="148">
      <c r="C173" s="261">
        <f>+J167</f>
        <v/>
      </c>
      <c r="D173" s="262" t="n">
        <v>9</v>
      </c>
      <c r="E173" s="262">
        <f>D173+1</f>
        <v/>
      </c>
      <c r="F173" s="262">
        <f>E173+1</f>
        <v/>
      </c>
      <c r="G173" s="262">
        <f>F173+1</f>
        <v/>
      </c>
      <c r="H173" s="262">
        <f>G173+1</f>
        <v/>
      </c>
      <c r="J173" s="254" t="n"/>
    </row>
    <row r="174" ht="12.75" customHeight="1" s="148">
      <c r="C174" s="248" t="n">
        <v>8</v>
      </c>
      <c r="D174" s="263">
        <f>IFERROR(((($J$153*D$173+$J$156)*(1-$K$158))/($E$14+(($C174-$E$3)*$E$5)))^(1/5)-1,"n/m")</f>
        <v/>
      </c>
      <c r="E174" s="259">
        <f>IFERROR(((($J$153*E$173+$J$156)*(1-$K$158))/($E$14+(($C174-$E$3)*$E$5)))^(1/5)-1,"n/m")</f>
        <v/>
      </c>
      <c r="F174" s="259">
        <f>IFERROR(((($J$153*F$173+$J$156)*(1-$K$158))/($E$14+(($C174-$E$3)*$E$5)))^(1/5)-1,"n/m")</f>
        <v/>
      </c>
      <c r="G174" s="259">
        <f>IFERROR(((($J$153*G$173+$J$156)*(1-$K$158))/($E$14+(($C174-$E$3)*$E$5)))^(1/5)-1,"n/m")</f>
        <v/>
      </c>
      <c r="H174" s="264">
        <f>IFERROR(((($J$153*H$173+$J$156)*(1-$K$158))/($E$14+(($C174-$E$3)*$E$5)))^(1/5)-1,"n/m")</f>
        <v/>
      </c>
    </row>
    <row r="175" ht="12.75" customHeight="1" s="148">
      <c r="B175" s="213" t="inlineStr">
        <is>
          <t>Entry</t>
        </is>
      </c>
      <c r="C175" s="248" t="n">
        <v>9</v>
      </c>
      <c r="D175" s="265">
        <f>IFERROR(((($J$153*D$173+$J$156)*(1-$K$158))/($E$14+(($C175-$E$3)*$E$5)))^(1/5)-1,"n/m")</f>
        <v/>
      </c>
      <c r="E175" s="266">
        <f>IFERROR(((($J$153*E$173+$J$156)*(1-$K$158))/($E$14+(($C175-$E$3)*$E$5)))^(1/5)-1,"n/m")</f>
        <v/>
      </c>
      <c r="F175" s="266">
        <f>IFERROR(((($J$153*F$173+$J$156)*(1-$K$158))/($E$14+(($C175-$E$3)*$E$5)))^(1/5)-1,"n/m")</f>
        <v/>
      </c>
      <c r="G175" s="266">
        <f>IFERROR(((($J$153*G$173+$J$156)*(1-$K$158))/($E$14+(($C175-$E$3)*$E$5)))^(1/5)-1,"n/m")</f>
        <v/>
      </c>
      <c r="H175" s="267">
        <f>IFERROR(((($J$153*H$173+$J$156)*(1-$K$158))/($E$14+(($C175-$E$3)*$E$5)))^(1/5)-1,"n/m")</f>
        <v/>
      </c>
    </row>
    <row r="176" ht="12.75" customHeight="1" s="148">
      <c r="B176" s="213" t="inlineStr">
        <is>
          <t>Multiple</t>
        </is>
      </c>
      <c r="C176" s="248" t="n">
        <v>10</v>
      </c>
      <c r="D176" s="265">
        <f>IFERROR(((($J$153*D$173+$J$156)*(1-$K$158))/($E$14+(($C176-$E$3)*$E$5)))^(1/5)-1,"n/m")</f>
        <v/>
      </c>
      <c r="E176" s="266">
        <f>IFERROR(((($J$153*E$173+$J$156)*(1-$K$158))/($E$14+(($C176-$E$3)*$E$5)))^(1/5)-1,"n/m")</f>
        <v/>
      </c>
      <c r="F176" s="256">
        <f>IFERROR(((($J$153*F$173+$J$156)*(1-$K$158))/($E$14+(($C176-$E$3)*$E$5)))^(1/5)-1,"n/m")</f>
        <v/>
      </c>
      <c r="G176" s="266">
        <f>IFERROR(((($J$153*G$173+$J$156)*(1-$K$158))/($E$14+(($C176-$E$3)*$E$5)))^(1/5)-1,"n/m")</f>
        <v/>
      </c>
      <c r="H176" s="267">
        <f>IFERROR(((($J$153*H$173+$J$156)*(1-$K$158))/($E$14+(($C176-$E$3)*$E$5)))^(1/5)-1,"n/m")</f>
        <v/>
      </c>
    </row>
    <row r="177" ht="12.75" customHeight="1" s="148">
      <c r="C177" s="248" t="n">
        <v>11</v>
      </c>
      <c r="D177" s="265">
        <f>IFERROR(((($J$153*D$173+$J$156)*(1-$K$158))/($E$14+(($C177-$E$3)*$E$5)))^(1/5)-1,"n/m")</f>
        <v/>
      </c>
      <c r="E177" s="266">
        <f>IFERROR(((($J$153*E$173+$J$156)*(1-$K$158))/($E$14+(($C177-$E$3)*$E$5)))^(1/5)-1,"n/m")</f>
        <v/>
      </c>
      <c r="F177" s="266">
        <f>IFERROR(((($J$153*F$173+$J$156)*(1-$K$158))/($E$14+(($C177-$E$3)*$E$5)))^(1/5)-1,"n/m")</f>
        <v/>
      </c>
      <c r="G177" s="266">
        <f>IFERROR(((($J$153*G$173+$J$156)*(1-$K$158))/($E$14+(($C177-$E$3)*$E$5)))^(1/5)-1,"n/m")</f>
        <v/>
      </c>
      <c r="H177" s="267">
        <f>IFERROR(((($J$153*H$173+$J$156)*(1-$K$158))/($E$14+(($C177-$E$3)*$E$5)))^(1/5)-1,"n/m")</f>
        <v/>
      </c>
    </row>
    <row r="178" ht="12.75" customHeight="1" s="148">
      <c r="C178" s="248" t="n">
        <v>12</v>
      </c>
      <c r="D178" s="268">
        <f>IFERROR(((($J$153*D$173+$J$156)*(1-$K$158))/($E$14+(($C178-$E$3)*$E$5)))^(1/5)-1,"n/m")</f>
        <v/>
      </c>
      <c r="E178" s="269">
        <f>IFERROR(((($J$153*E$173+$J$156)*(1-$K$158))/($E$14+(($C178-$E$3)*$E$5)))^(1/5)-1,"n/m")</f>
        <v/>
      </c>
      <c r="F178" s="269">
        <f>IFERROR(((($J$153*F$173+$J$156)*(1-$K$158))/($E$14+(($C178-$E$3)*$E$5)))^(1/5)-1,"n/m")</f>
        <v/>
      </c>
      <c r="G178" s="269">
        <f>IFERROR(((($J$153*G$173+$J$156)*(1-$K$158))/($E$14+(($C178-$E$3)*$E$5)))^(1/5)-1,"n/m")</f>
        <v/>
      </c>
      <c r="H178" s="270">
        <f>IFERROR(((($J$153*H$173+$J$156)*(1-$K$158))/($E$14+(($C178-$E$3)*$E$5)))^(1/5)-1,"n/m")</f>
        <v/>
      </c>
    </row>
    <row r="180" ht="12.75" customHeight="1" s="148">
      <c r="C180" s="213" t="inlineStr">
        <is>
          <t>MoM: same axes and method.</t>
        </is>
      </c>
      <c r="D180" s="260" t="inlineStr">
        <is>
          <t>Exit Multiple</t>
        </is>
      </c>
    </row>
    <row r="181" ht="12.75" customHeight="1" s="148">
      <c r="C181" s="261">
        <f>+J168</f>
        <v/>
      </c>
      <c r="D181" s="271" t="n">
        <v>9</v>
      </c>
      <c r="E181" s="271">
        <f>D181+1</f>
        <v/>
      </c>
      <c r="F181" s="271">
        <f>E181+1</f>
        <v/>
      </c>
      <c r="G181" s="271">
        <f>F181+1</f>
        <v/>
      </c>
      <c r="H181" s="271">
        <f>G181+1</f>
        <v/>
      </c>
    </row>
    <row r="182" ht="12.75" customHeight="1" s="148">
      <c r="C182" s="248" t="n">
        <v>8</v>
      </c>
      <c r="D182" s="272">
        <f>IFERROR((($J$153*D$181+$J$156)*(1-$K$158))/($E$14+(($C182-$E$3)*$E$5)),"n/m")</f>
        <v/>
      </c>
      <c r="E182" s="273">
        <f>IFERROR((($J$153*E$181+$J$156)*(1-$K$158))/($E$14+(($C182-$E$3)*$E$5)),"n/m")</f>
        <v/>
      </c>
      <c r="F182" s="273">
        <f>IFERROR((($J$153*F$181+$J$156)*(1-$K$158))/($E$14+(($C182-$E$3)*$E$5)),"n/m")</f>
        <v/>
      </c>
      <c r="G182" s="273">
        <f>IFERROR((($J$153*G$181+$J$156)*(1-$K$158))/($E$14+(($C182-$E$3)*$E$5)),"n/m")</f>
        <v/>
      </c>
      <c r="H182" s="274">
        <f>IFERROR((($J$153*H$181+$J$156)*(1-$K$158))/($E$14+(($C182-$E$3)*$E$5)),"n/m")</f>
        <v/>
      </c>
    </row>
    <row r="183" ht="12.75" customHeight="1" s="148">
      <c r="B183" s="213" t="inlineStr">
        <is>
          <t>Entry</t>
        </is>
      </c>
      <c r="C183" s="248" t="n">
        <v>9</v>
      </c>
      <c r="D183" s="275">
        <f>IFERROR((($J$153*D$181+$J$156)*(1-$K$158))/($E$14+(($C183-$E$3)*$E$5)),"n/m")</f>
        <v/>
      </c>
      <c r="E183" s="276">
        <f>IFERROR((($J$153*E$181+$J$156)*(1-$K$158))/($E$14+(($C183-$E$3)*$E$5)),"n/m")</f>
        <v/>
      </c>
      <c r="F183" s="276">
        <f>IFERROR((($J$153*F$181+$J$156)*(1-$K$158))/($E$14+(($C183-$E$3)*$E$5)),"n/m")</f>
        <v/>
      </c>
      <c r="G183" s="276">
        <f>IFERROR((($J$153*G$181+$J$156)*(1-$K$158))/($E$14+(($C183-$E$3)*$E$5)),"n/m")</f>
        <v/>
      </c>
      <c r="H183" s="277">
        <f>IFERROR((($J$153*H$181+$J$156)*(1-$K$158))/($E$14+(($C183-$E$3)*$E$5)),"n/m")</f>
        <v/>
      </c>
    </row>
    <row r="184" ht="12.75" customHeight="1" s="148">
      <c r="B184" s="213" t="inlineStr">
        <is>
          <t>Multiple</t>
        </is>
      </c>
      <c r="C184" s="248" t="n">
        <v>10</v>
      </c>
      <c r="D184" s="275">
        <f>IFERROR((($J$153*D$181+$J$156)*(1-$K$158))/($E$14+(($C184-$E$3)*$E$5)),"n/m")</f>
        <v/>
      </c>
      <c r="E184" s="276">
        <f>IFERROR((($J$153*E$181+$J$156)*(1-$K$158))/($E$14+(($C184-$E$3)*$E$5)),"n/m")</f>
        <v/>
      </c>
      <c r="F184" s="278">
        <f>IFERROR((($J$153*F$181+$J$156)*(1-$K$158))/($E$14+(($C184-$E$3)*$E$5)),"n/m")</f>
        <v/>
      </c>
      <c r="G184" s="276">
        <f>IFERROR((($J$153*G$181+$J$156)*(1-$K$158))/($E$14+(($C184-$E$3)*$E$5)),"n/m")</f>
        <v/>
      </c>
      <c r="H184" s="277">
        <f>IFERROR((($J$153*H$181+$J$156)*(1-$K$158))/($E$14+(($C184-$E$3)*$E$5)),"n/m")</f>
        <v/>
      </c>
    </row>
    <row r="185" ht="12.75" customHeight="1" s="148">
      <c r="C185" s="248" t="n">
        <v>11</v>
      </c>
      <c r="D185" s="275">
        <f>IFERROR((($J$153*D$181+$J$156)*(1-$K$158))/($E$14+(($C185-$E$3)*$E$5)),"n/m")</f>
        <v/>
      </c>
      <c r="E185" s="276">
        <f>IFERROR((($J$153*E$181+$J$156)*(1-$K$158))/($E$14+(($C185-$E$3)*$E$5)),"n/m")</f>
        <v/>
      </c>
      <c r="F185" s="276">
        <f>IFERROR((($J$153*F$181+$J$156)*(1-$K$158))/($E$14+(($C185-$E$3)*$E$5)),"n/m")</f>
        <v/>
      </c>
      <c r="G185" s="276">
        <f>IFERROR((($J$153*G$181+$J$156)*(1-$K$158))/($E$14+(($C185-$E$3)*$E$5)),"n/m")</f>
        <v/>
      </c>
      <c r="H185" s="277">
        <f>IFERROR((($J$153*H$181+$J$156)*(1-$K$158))/($E$14+(($C185-$E$3)*$E$5)),"n/m")</f>
        <v/>
      </c>
    </row>
    <row r="186" ht="12.75" customHeight="1" s="148">
      <c r="C186" s="248" t="n">
        <v>12</v>
      </c>
      <c r="D186" s="279">
        <f>IFERROR((($J$153*D$181+$J$156)*(1-$K$158))/($E$14+(($C186-$E$3)*$E$5)),"n/m")</f>
        <v/>
      </c>
      <c r="E186" s="280">
        <f>IFERROR((($J$153*E$181+$J$156)*(1-$K$158))/($E$14+(($C186-$E$3)*$E$5)),"n/m")</f>
        <v/>
      </c>
      <c r="F186" s="280">
        <f>IFERROR((($J$153*F$181+$J$156)*(1-$K$158))/($E$14+(($C186-$E$3)*$E$5)),"n/m")</f>
        <v/>
      </c>
      <c r="G186" s="280">
        <f>IFERROR((($J$153*G$181+$J$156)*(1-$K$158))/($E$14+(($C186-$E$3)*$E$5)),"n/m")</f>
        <v/>
      </c>
      <c r="H186" s="281">
        <f>IFERROR((($J$153*H$181+$J$156)*(1-$K$158))/($E$14+(($C186-$E$3)*$E$5)),"n/m")</f>
        <v/>
      </c>
    </row>
    <row r="188" ht="12.75" customHeight="1" s="148">
      <c r="A188" s="213" t="inlineStr">
        <is>
          <t>x</t>
        </is>
      </c>
      <c r="B188" s="237" t="inlineStr">
        <is>
          <t>Returns Creation</t>
        </is>
      </c>
      <c r="C188" s="237" t="n"/>
      <c r="D188" s="237" t="n"/>
      <c r="E188" s="237" t="n"/>
      <c r="F188" s="237" t="n"/>
      <c r="G188" s="237" t="n"/>
      <c r="H188" s="237" t="n"/>
      <c r="I188" s="237" t="n"/>
      <c r="J188" s="237" t="n"/>
    </row>
    <row r="189" ht="12.75" customHeight="1" s="148">
      <c r="E189" s="282" t="n">
        <v>2018</v>
      </c>
      <c r="F189" s="282" t="n">
        <v>2023</v>
      </c>
      <c r="G189" s="282" t="inlineStr">
        <is>
          <t>Change</t>
        </is>
      </c>
      <c r="H189" s="282" t="inlineStr">
        <is>
          <t>Multiple</t>
        </is>
      </c>
      <c r="I189" s="282" t="inlineStr">
        <is>
          <t>$</t>
        </is>
      </c>
      <c r="J189" s="282" t="inlineStr">
        <is>
          <t>%</t>
        </is>
      </c>
    </row>
    <row r="190" ht="12.75" customHeight="1" s="148">
      <c r="B190" s="213" t="inlineStr">
        <is>
          <t>Beg Equity Value</t>
        </is>
      </c>
      <c r="E190" s="227" t="n"/>
      <c r="F190" s="227" t="n"/>
      <c r="G190" s="227" t="n"/>
      <c r="H190" s="227" t="n"/>
      <c r="I190" s="227">
        <f>+E14</f>
        <v/>
      </c>
    </row>
    <row r="191" ht="12.75" customHeight="1" s="148">
      <c r="E191" s="227" t="n"/>
      <c r="F191" s="227" t="n"/>
      <c r="G191" s="227" t="n"/>
      <c r="H191" s="227" t="n"/>
      <c r="I191" s="227" t="n"/>
    </row>
    <row r="192" ht="12.75" customHeight="1" s="148">
      <c r="B192" s="245" t="inlineStr">
        <is>
          <t>Creation</t>
        </is>
      </c>
      <c r="E192" s="227" t="n"/>
      <c r="F192" s="227" t="n"/>
      <c r="G192" s="227" t="n"/>
      <c r="H192" s="227" t="n"/>
      <c r="I192" s="227" t="n"/>
    </row>
    <row r="193" ht="12.75" customHeight="1" s="148">
      <c r="B193" s="213" t="inlineStr">
        <is>
          <t>Cash Build</t>
        </is>
      </c>
      <c r="E193" s="227">
        <f>+E62</f>
        <v/>
      </c>
      <c r="F193" s="227">
        <f>J62</f>
        <v/>
      </c>
      <c r="G193" s="227">
        <f>+F193-E193</f>
        <v/>
      </c>
      <c r="H193" s="228" t="n">
        <v>1</v>
      </c>
      <c r="I193" s="227">
        <f>+G193*H193</f>
        <v/>
      </c>
      <c r="J193" s="266">
        <f>+I193/$I$202</f>
        <v/>
      </c>
    </row>
    <row r="194" ht="12.75" customHeight="1" s="148">
      <c r="B194" s="213" t="inlineStr">
        <is>
          <t>Debt Paydown</t>
        </is>
      </c>
      <c r="E194" s="227">
        <f>+E67</f>
        <v/>
      </c>
      <c r="F194" s="227">
        <f>+J67</f>
        <v/>
      </c>
      <c r="G194" s="227">
        <f>+E194-F194</f>
        <v/>
      </c>
      <c r="H194" s="228" t="n">
        <v>1</v>
      </c>
      <c r="I194" s="227">
        <f>+G194*H194</f>
        <v/>
      </c>
      <c r="J194" s="266">
        <f>+I194/$I$202</f>
        <v/>
      </c>
    </row>
    <row r="195" ht="12.75" customHeight="1" s="148">
      <c r="B195" s="213" t="inlineStr">
        <is>
          <t>EBITDA Growth</t>
        </is>
      </c>
      <c r="E195" s="227">
        <f>+E31</f>
        <v/>
      </c>
      <c r="F195" s="227">
        <f>J31</f>
        <v/>
      </c>
      <c r="G195" s="227">
        <f>+F195-E195</f>
        <v/>
      </c>
      <c r="H195" s="228">
        <f>E4</f>
        <v/>
      </c>
      <c r="I195" s="227">
        <f>+G195*H195</f>
        <v/>
      </c>
      <c r="J195" s="266">
        <f>+I195/$I$202</f>
        <v/>
      </c>
    </row>
    <row r="196" ht="12.75" customHeight="1" s="148">
      <c r="B196" s="213" t="inlineStr">
        <is>
          <t>Multiple Expansion</t>
        </is>
      </c>
      <c r="E196" s="227">
        <f>+E3</f>
        <v/>
      </c>
      <c r="F196" s="227">
        <f>+E4</f>
        <v/>
      </c>
      <c r="G196" s="227">
        <f>+F196-E196</f>
        <v/>
      </c>
      <c r="H196" s="227">
        <f>+F195</f>
        <v/>
      </c>
      <c r="I196" s="227">
        <f>+G196*H196</f>
        <v/>
      </c>
      <c r="J196" s="266">
        <f>+I196/$I$202</f>
        <v/>
      </c>
    </row>
    <row r="197" ht="12.75" customHeight="1" s="148">
      <c r="B197" s="233" t="inlineStr">
        <is>
          <t>Created Value</t>
        </is>
      </c>
      <c r="C197" s="233" t="n"/>
      <c r="D197" s="233" t="n"/>
      <c r="E197" s="234" t="n"/>
      <c r="F197" s="234" t="n"/>
      <c r="G197" s="234" t="n"/>
      <c r="H197" s="234" t="n"/>
      <c r="I197" s="234">
        <f>SUM(I193:I196)</f>
        <v/>
      </c>
      <c r="J197" s="259">
        <f>SUM(J193:J196)</f>
        <v/>
      </c>
    </row>
    <row r="198" ht="12.75" customHeight="1" s="148">
      <c r="B198" s="213" t="inlineStr">
        <is>
          <t>(-) M&amp;A Fee</t>
        </is>
      </c>
      <c r="E198" s="227" t="n"/>
      <c r="F198" s="227" t="n"/>
      <c r="G198" s="227" t="n"/>
      <c r="H198" s="227" t="n"/>
      <c r="I198" s="227">
        <f>+-J12</f>
        <v/>
      </c>
      <c r="J198" s="266">
        <f>+I198/$I$202</f>
        <v/>
      </c>
    </row>
    <row r="199" ht="12.75" customHeight="1" s="148">
      <c r="B199" s="213" t="inlineStr">
        <is>
          <t>(-) Fin. Fee</t>
        </is>
      </c>
      <c r="E199" s="227" t="n"/>
      <c r="F199" s="227" t="n"/>
      <c r="G199" s="227" t="n"/>
      <c r="H199" s="227" t="n"/>
      <c r="I199" s="227">
        <f>+-J13</f>
        <v/>
      </c>
      <c r="J199" s="266">
        <f>+I199/$I$202</f>
        <v/>
      </c>
    </row>
    <row r="200" ht="12.75" customHeight="1" s="148">
      <c r="B200" s="233" t="inlineStr">
        <is>
          <t>Net Created Value (All)</t>
        </is>
      </c>
      <c r="C200" s="233" t="n"/>
      <c r="D200" s="233" t="n"/>
      <c r="E200" s="234" t="n"/>
      <c r="F200" s="234" t="n"/>
      <c r="G200" s="234" t="n"/>
      <c r="H200" s="234" t="n"/>
      <c r="I200" s="234">
        <f>SUM(I197:I199)</f>
        <v/>
      </c>
      <c r="J200" s="259">
        <f>SUM(J197:J199)</f>
        <v/>
      </c>
    </row>
    <row r="201" ht="12.75" customHeight="1" s="148">
      <c r="B201" s="213" t="inlineStr">
        <is>
          <t>Management Roll</t>
        </is>
      </c>
      <c r="E201" s="227" t="n"/>
      <c r="F201" s="227" t="n"/>
      <c r="G201" s="227" t="n"/>
      <c r="H201" s="227" t="n"/>
      <c r="I201" s="227">
        <f>+-I200*K158</f>
        <v/>
      </c>
      <c r="J201" s="266">
        <f>+I201/$I$202</f>
        <v/>
      </c>
    </row>
    <row r="202" ht="12.75" customHeight="1" s="148">
      <c r="B202" s="233" t="inlineStr">
        <is>
          <t>Sponsor Creation</t>
        </is>
      </c>
      <c r="C202" s="233" t="n"/>
      <c r="D202" s="233" t="n"/>
      <c r="E202" s="234" t="n"/>
      <c r="F202" s="234" t="n"/>
      <c r="G202" s="234" t="n"/>
      <c r="H202" s="234" t="n"/>
      <c r="I202" s="234">
        <f>SUM(I200:I201)</f>
        <v/>
      </c>
      <c r="J202" s="259">
        <f>SUM(J200:J201)</f>
        <v/>
      </c>
    </row>
    <row r="203" ht="12.75" customHeight="1" s="148">
      <c r="E203" s="227" t="n"/>
      <c r="F203" s="227" t="n"/>
      <c r="G203" s="227" t="n"/>
      <c r="H203" s="227" t="n"/>
      <c r="I203" s="227" t="n"/>
    </row>
    <row r="204" ht="12.75" customHeight="1" s="148">
      <c r="B204" s="213" t="inlineStr">
        <is>
          <t>Ending Equity (Calc)</t>
        </is>
      </c>
      <c r="E204" s="227" t="n"/>
      <c r="F204" s="227" t="n"/>
      <c r="G204" s="227" t="n"/>
      <c r="H204" s="227" t="n"/>
      <c r="I204" s="227">
        <f>+I190+I202</f>
        <v/>
      </c>
    </row>
    <row r="205" ht="12.75" customHeight="1" s="148">
      <c r="B205" s="213" t="inlineStr">
        <is>
          <t>Ending Equity (Link)</t>
        </is>
      </c>
      <c r="E205" s="227" t="n"/>
      <c r="F205" s="227" t="n"/>
      <c r="G205" s="227" t="n"/>
      <c r="H205" s="227" t="n"/>
      <c r="I205" s="227">
        <f>+J159</f>
        <v/>
      </c>
    </row>
    <row r="207" ht="12.75" customFormat="1" customHeight="1" s="283">
      <c r="A207" s="283" t="inlineStr">
        <is>
          <t>x</t>
        </is>
      </c>
      <c r="B207" s="283" t="inlineStr">
        <is>
          <t>Check</t>
        </is>
      </c>
      <c r="I207" s="284">
        <f>I204-I205</f>
        <v/>
      </c>
    </row>
  </sheetData>
  <mergeCells count="6">
    <mergeCell ref="B17:E17"/>
    <mergeCell ref="G10:J10"/>
    <mergeCell ref="D172:H172"/>
    <mergeCell ref="D180:H180"/>
    <mergeCell ref="B10:E10"/>
    <mergeCell ref="B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44546A"/>
    <outlinePr summaryBelow="1" summaryRight="1"/>
    <pageSetUpPr fitToPage="0"/>
  </sheetPr>
  <dimension ref="A1:L20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2.75" zeroHeight="0" outlineLevelRow="0"/>
  <cols>
    <col width="2.82" customWidth="1" style="213" min="1" max="1"/>
    <col width="11.54" customWidth="1" style="213" min="2" max="2"/>
    <col width="8.73" customWidth="1" style="213" min="3" max="16384"/>
  </cols>
  <sheetData>
    <row r="1" ht="16.15" customHeight="1" s="148">
      <c r="B1" s="214" t="inlineStr">
        <is>
          <t>Cerberus / Chrysler (2007-09) — Full LBO model (template: LBO Model Solution)</t>
        </is>
      </c>
    </row>
    <row r="2" ht="12.75" customHeight="1" s="148">
      <c r="B2" s="215" t="inlineStr">
        <is>
          <t>Assumptions</t>
        </is>
      </c>
      <c r="L2" s="163" t="inlineStr">
        <is>
          <t>INPUT NOTES</t>
        </is>
      </c>
    </row>
    <row r="3" ht="137.3" customHeight="1" s="148">
      <c r="B3" s="213" t="inlineStr">
        <is>
          <t>Entry Multiple</t>
        </is>
      </c>
      <c r="E3" s="216" t="n">
        <v>12.5</v>
      </c>
      <c r="G3" s="213" t="inlineStr">
        <is>
          <t>TL</t>
        </is>
      </c>
      <c r="I3" s="216" t="n">
        <v>6.667</v>
      </c>
      <c r="J3" s="217" t="n">
        <v>0.02</v>
      </c>
      <c r="L3" s="150" t="inlineStr">
        <is>
          <t>EBITDA at entry $1,500m and entry multiple 12.5x reproduce the filed/reported purchase price of $18,750m.</t>
        </is>
      </c>
    </row>
    <row r="4" ht="85.05" customHeight="1" s="148">
      <c r="B4" s="213" t="inlineStr">
        <is>
          <t>Exit Multiple</t>
        </is>
      </c>
      <c r="E4" s="216" t="n">
        <v>6</v>
      </c>
      <c r="G4" s="213" t="inlineStr">
        <is>
          <t>Mezz</t>
        </is>
      </c>
      <c r="I4" s="216" t="n">
        <v>1.333</v>
      </c>
      <c r="J4" s="217" t="n">
        <v>0.02</v>
      </c>
      <c r="L4" s="150" t="inlineStr">
        <is>
          <t>Term loan 6.667x EBITDA at 8.50%; mezz/second-lien 1.333x at 12.00%.</t>
        </is>
      </c>
    </row>
    <row r="5" ht="231.3" customHeight="1" s="148">
      <c r="B5" s="213" t="inlineStr">
        <is>
          <t>EBITDA at Entry</t>
        </is>
      </c>
      <c r="E5" s="218" t="n">
        <v>1500</v>
      </c>
      <c r="G5" s="213" t="inlineStr">
        <is>
          <t>Days</t>
        </is>
      </c>
      <c r="I5" s="219" t="n">
        <v>365</v>
      </c>
      <c r="L5" s="150" t="inlineStr">
        <is>
          <t>Purchase-accounting inputs (NPV of assets, PP&amp;E allocation, DTL rate), working-capital days and D&amp;A/capex ratios are assumptions unless the paper tab's source column says otherwise.</t>
        </is>
      </c>
    </row>
    <row r="6" ht="179.1" customHeight="1" s="148">
      <c r="B6" s="213" t="inlineStr">
        <is>
          <t>Financing Fees Years</t>
        </is>
      </c>
      <c r="E6" s="220" t="n">
        <v>7</v>
      </c>
      <c r="G6" s="213" t="inlineStr">
        <is>
          <t>Tax Rate</t>
        </is>
      </c>
      <c r="I6" s="221" t="n">
        <v>0.35</v>
      </c>
      <c r="L6" s="150" t="inlineStr">
        <is>
          <t>Sensitivity tables (rows 173-186) are Excel data tables and recompute when opened in Excel; other spreadsheet apps may show the last cached values.</t>
        </is>
      </c>
    </row>
    <row r="7" ht="408.2" customHeight="1" s="148">
      <c r="B7" s="213" t="inlineStr">
        <is>
          <t>D&amp;A Life</t>
        </is>
      </c>
      <c r="E7" s="220" t="n">
        <v>10</v>
      </c>
      <c r="L7" s="150" t="inlineStr">
        <is>
          <t>Three template formulas are corrected on this tab so the model survives negative cash flow: CFF now includes the revolver draw (row 89); a negative cash balance no longer triggers a second revolver draw (row 110); the term-loan sweep only uses cash that exists (row 120). With positive cash flow the results are identical to the original.</t>
        </is>
      </c>
    </row>
    <row r="8" ht="179.1" customHeight="1" s="148">
      <c r="B8" s="213" t="inlineStr">
        <is>
          <t>Rollover</t>
        </is>
      </c>
      <c r="E8" s="222" t="n">
        <v>0.07149999999999999</v>
      </c>
      <c r="G8" s="223" t="inlineStr">
        <is>
          <t>circ</t>
        </is>
      </c>
      <c r="H8" s="224" t="n"/>
      <c r="I8" s="225" t="n">
        <v>1</v>
      </c>
      <c r="J8" s="226" t="inlineStr">
        <is>
          <t>&lt;&lt; interest is charged on opening balances on this tab, so no iteration is needed; 1 keeps interest on</t>
        </is>
      </c>
      <c r="L8" s="150" t="inlineStr">
        <is>
          <t>Interest is charged on opening balances, which removes the template's circular reference; switch I8 is left at 1 so the interest lines stay live.</t>
        </is>
      </c>
    </row>
    <row r="10" ht="12.75" customHeight="1" s="148">
      <c r="B10" s="215" t="inlineStr">
        <is>
          <t>Sources</t>
        </is>
      </c>
      <c r="G10" s="215" t="inlineStr">
        <is>
          <t>Uses</t>
        </is>
      </c>
    </row>
    <row r="11" ht="12.75" customHeight="1" s="148">
      <c r="B11" s="213" t="inlineStr">
        <is>
          <t>Term Loan</t>
        </is>
      </c>
      <c r="E11" s="227">
        <f>+I3*$E$5</f>
        <v/>
      </c>
      <c r="G11" s="213" t="inlineStr">
        <is>
          <t>Equity purchase price</t>
        </is>
      </c>
      <c r="J11" s="227">
        <f>+E18</f>
        <v/>
      </c>
    </row>
    <row r="12" ht="12.75" customHeight="1" s="148">
      <c r="B12" s="213" t="inlineStr">
        <is>
          <t>Mezz Loan</t>
        </is>
      </c>
      <c r="E12" s="227">
        <f>+I4*$E$5</f>
        <v/>
      </c>
      <c r="G12" s="213" t="inlineStr">
        <is>
          <t>M&amp;A fee</t>
        </is>
      </c>
      <c r="J12" s="218" t="n">
        <v>150</v>
      </c>
    </row>
    <row r="13" ht="12.75" customHeight="1" s="148">
      <c r="B13" s="213" t="inlineStr">
        <is>
          <t>Management Rollover</t>
        </is>
      </c>
      <c r="E13" s="227">
        <f>+E18*E8</f>
        <v/>
      </c>
      <c r="G13" s="213" t="inlineStr">
        <is>
          <t>Fin. Fee</t>
        </is>
      </c>
      <c r="J13" s="228">
        <f>+J3*E11+J4*E12</f>
        <v/>
      </c>
    </row>
    <row r="14" ht="12.75" customHeight="1" s="148">
      <c r="B14" s="213" t="inlineStr">
        <is>
          <t>Sponsor Equity</t>
        </is>
      </c>
      <c r="E14" s="227">
        <f>E15-SUM(E11:E13)</f>
        <v/>
      </c>
      <c r="J14" s="227" t="n"/>
    </row>
    <row r="15" ht="12.75" customHeight="1" s="148">
      <c r="B15" s="229" t="inlineStr">
        <is>
          <t>Total Sources</t>
        </is>
      </c>
      <c r="C15" s="229" t="n"/>
      <c r="D15" s="229" t="n"/>
      <c r="E15" s="230">
        <f>J15</f>
        <v/>
      </c>
      <c r="G15" s="229" t="inlineStr">
        <is>
          <t>Total Uses</t>
        </is>
      </c>
      <c r="H15" s="229" t="n"/>
      <c r="I15" s="229" t="n"/>
      <c r="J15" s="230">
        <f>SUM(J11:J14)</f>
        <v/>
      </c>
    </row>
    <row r="17" ht="12.75" customHeight="1" s="148">
      <c r="B17" s="215" t="inlineStr">
        <is>
          <t>Purchase Acct</t>
        </is>
      </c>
      <c r="G17" s="231" t="n"/>
    </row>
    <row r="18" ht="12.75" customHeight="1" s="148">
      <c r="B18" s="213" t="inlineStr">
        <is>
          <t>Purchase Price</t>
        </is>
      </c>
      <c r="E18" s="227">
        <f>+E3*E5</f>
        <v/>
      </c>
      <c r="G18" s="232" t="n"/>
    </row>
    <row r="19" ht="12.75" customHeight="1" s="148">
      <c r="B19" s="213" t="inlineStr">
        <is>
          <t>(-) NPV</t>
        </is>
      </c>
      <c r="E19" s="218" t="n">
        <v>-12000</v>
      </c>
      <c r="G19" s="231" t="n"/>
    </row>
    <row r="20" ht="12.75" customHeight="1" s="148">
      <c r="B20" s="233" t="inlineStr">
        <is>
          <t>Excess</t>
        </is>
      </c>
      <c r="C20" s="233" t="n"/>
      <c r="D20" s="233" t="n"/>
      <c r="E20" s="234">
        <f>SUM(E18:E19)</f>
        <v/>
      </c>
      <c r="G20" s="231" t="n"/>
    </row>
    <row r="21" ht="12.75" customHeight="1" s="148">
      <c r="B21" s="213" t="inlineStr">
        <is>
          <t>(-) Alloc to PPE</t>
        </is>
      </c>
      <c r="D21" s="221" t="n">
        <v>0.3</v>
      </c>
      <c r="E21" s="227">
        <f>+-E20*D21</f>
        <v/>
      </c>
      <c r="G21" s="231" t="n"/>
    </row>
    <row r="22" ht="12.75" customHeight="1" s="148">
      <c r="B22" s="213" t="inlineStr">
        <is>
          <t>DTL</t>
        </is>
      </c>
      <c r="D22" s="221" t="n">
        <v>0.35</v>
      </c>
      <c r="E22" s="227">
        <f>+-E21*D22</f>
        <v/>
      </c>
      <c r="G22" s="231" t="n"/>
    </row>
    <row r="23" ht="12.75" customHeight="1" s="148">
      <c r="B23" s="235" t="inlineStr">
        <is>
          <t>Goodwill</t>
        </is>
      </c>
      <c r="C23" s="235" t="n"/>
      <c r="D23" s="235" t="n"/>
      <c r="E23" s="236">
        <f>SUM(E20:E22)</f>
        <v/>
      </c>
    </row>
    <row r="25" ht="12.75" customHeight="1" s="148">
      <c r="A25" s="213" t="inlineStr">
        <is>
          <t>x</t>
        </is>
      </c>
      <c r="B25" s="237" t="inlineStr">
        <is>
          <t>Income Statement</t>
        </is>
      </c>
      <c r="C25" s="237" t="n"/>
      <c r="D25" s="237" t="n"/>
      <c r="E25" s="237" t="n">
        <v>2006</v>
      </c>
      <c r="F25" s="237">
        <f>E25+1</f>
        <v/>
      </c>
      <c r="G25" s="237">
        <f>F25+1</f>
        <v/>
      </c>
      <c r="H25" s="237">
        <f>G25+1</f>
        <v/>
      </c>
      <c r="I25" s="237">
        <f>H25+1</f>
        <v/>
      </c>
      <c r="J25" s="237">
        <f>I25+1</f>
        <v/>
      </c>
    </row>
    <row r="26" ht="12.75" customHeight="1" s="148">
      <c r="B26" s="238" t="inlineStr">
        <is>
          <t>Revenue</t>
        </is>
      </c>
      <c r="C26" s="238" t="n"/>
      <c r="D26" s="238" t="n"/>
      <c r="E26" s="236">
        <f>+E31/E32</f>
        <v/>
      </c>
      <c r="F26" s="236">
        <f>+E26*(1+F27)</f>
        <v/>
      </c>
      <c r="G26" s="236">
        <f>+F26*(1+G27)</f>
        <v/>
      </c>
      <c r="H26" s="236">
        <f>+G26*(1+H27)</f>
        <v/>
      </c>
      <c r="I26" s="236">
        <f>+H26*(1+I27)</f>
        <v/>
      </c>
      <c r="J26" s="236">
        <f>+I26*(1+J27)</f>
        <v/>
      </c>
    </row>
    <row r="27" ht="12.75" customHeight="1" s="148">
      <c r="B27" s="239" t="inlineStr">
        <is>
          <t>% Growth</t>
        </is>
      </c>
      <c r="F27" s="221" t="n">
        <v>0</v>
      </c>
      <c r="G27" s="240">
        <f>+F27</f>
        <v/>
      </c>
      <c r="H27" s="240">
        <f>+G27</f>
        <v/>
      </c>
      <c r="I27" s="240">
        <f>+H27</f>
        <v/>
      </c>
      <c r="J27" s="240">
        <f>+I27</f>
        <v/>
      </c>
    </row>
    <row r="28" ht="12.75" customHeight="1" s="148">
      <c r="B28" s="213" t="inlineStr">
        <is>
          <t>(-) Cogs</t>
        </is>
      </c>
      <c r="E28" s="227">
        <f>E29-E26</f>
        <v/>
      </c>
      <c r="F28" s="227">
        <f>F29-F26</f>
        <v/>
      </c>
      <c r="G28" s="227">
        <f>G29-G26</f>
        <v/>
      </c>
      <c r="H28" s="227">
        <f>H29-H26</f>
        <v/>
      </c>
      <c r="I28" s="227">
        <f>I29-I26</f>
        <v/>
      </c>
      <c r="J28" s="227">
        <f>J29-J26</f>
        <v/>
      </c>
    </row>
    <row r="29" ht="12.75" customHeight="1" s="148">
      <c r="B29" s="235" t="inlineStr">
        <is>
          <t>Gross Profit</t>
        </is>
      </c>
      <c r="C29" s="235" t="n"/>
      <c r="D29" s="235" t="n"/>
      <c r="E29" s="236">
        <f>+E26*E30</f>
        <v/>
      </c>
      <c r="F29" s="236">
        <f>+F26*F30</f>
        <v/>
      </c>
      <c r="G29" s="236">
        <f>+G26*G30</f>
        <v/>
      </c>
      <c r="H29" s="236">
        <f>+H26*H30</f>
        <v/>
      </c>
      <c r="I29" s="236">
        <f>+I26*I30</f>
        <v/>
      </c>
      <c r="J29" s="236">
        <f>+J26*J30</f>
        <v/>
      </c>
    </row>
    <row r="30" ht="12.75" customHeight="1" s="148">
      <c r="B30" s="239" t="inlineStr">
        <is>
          <t>% Gross Margin</t>
        </is>
      </c>
      <c r="E30" s="221" t="n">
        <v>0.15</v>
      </c>
      <c r="F30" s="240">
        <f>+E30</f>
        <v/>
      </c>
      <c r="G30" s="240">
        <f>+F30</f>
        <v/>
      </c>
      <c r="H30" s="240">
        <f>+G30</f>
        <v/>
      </c>
      <c r="I30" s="240">
        <f>+H30</f>
        <v/>
      </c>
      <c r="J30" s="240">
        <f>+I30</f>
        <v/>
      </c>
    </row>
    <row r="31" ht="12.75" customHeight="1" s="148">
      <c r="B31" s="238" t="inlineStr">
        <is>
          <t>EBITDA</t>
        </is>
      </c>
      <c r="C31" s="238" t="n"/>
      <c r="D31" s="238" t="n"/>
      <c r="E31" s="241">
        <f>+E5</f>
        <v/>
      </c>
      <c r="F31" s="241">
        <f>+F26*F32</f>
        <v/>
      </c>
      <c r="G31" s="241">
        <f>+G26*G32</f>
        <v/>
      </c>
      <c r="H31" s="241">
        <f>+H26*H32</f>
        <v/>
      </c>
      <c r="I31" s="241">
        <f>+I26*I32</f>
        <v/>
      </c>
      <c r="J31" s="241">
        <f>+J26*J32</f>
        <v/>
      </c>
    </row>
    <row r="32" ht="12.75" customHeight="1" s="148">
      <c r="B32" s="242" t="inlineStr">
        <is>
          <t>% Margin</t>
        </is>
      </c>
      <c r="E32" s="221" t="n">
        <v>0.025</v>
      </c>
      <c r="F32" s="221" t="n">
        <v>0.035</v>
      </c>
      <c r="G32" s="221" t="n">
        <v>0.045</v>
      </c>
      <c r="H32" s="221" t="n">
        <v>0.055</v>
      </c>
      <c r="I32" s="221" t="n">
        <v>0.06</v>
      </c>
      <c r="J32" s="221" t="n">
        <v>0.06</v>
      </c>
    </row>
    <row r="33" ht="12.75" customHeight="1" s="148">
      <c r="B33" s="213" t="inlineStr">
        <is>
          <t>(-) D&amp;A</t>
        </is>
      </c>
      <c r="F33" s="227">
        <f>+-F26*F46+F42</f>
        <v/>
      </c>
      <c r="G33" s="227">
        <f>+-G26*G46+G42</f>
        <v/>
      </c>
      <c r="H33" s="227">
        <f>+-H26*H46+H42</f>
        <v/>
      </c>
      <c r="I33" s="227">
        <f>+-I26*I46+I42</f>
        <v/>
      </c>
      <c r="J33" s="227">
        <f>+-J26*J46+J42</f>
        <v/>
      </c>
    </row>
    <row r="34" ht="12.75" customHeight="1" s="148">
      <c r="B34" s="235" t="inlineStr">
        <is>
          <t>EBIT</t>
        </is>
      </c>
      <c r="C34" s="235" t="n"/>
      <c r="D34" s="235" t="n"/>
      <c r="E34" s="235" t="n"/>
      <c r="F34" s="236">
        <f>+F31+F33</f>
        <v/>
      </c>
      <c r="G34" s="236">
        <f>+G31+G33</f>
        <v/>
      </c>
      <c r="H34" s="236">
        <f>+H31+H33</f>
        <v/>
      </c>
      <c r="I34" s="236">
        <f>+I31+I33</f>
        <v/>
      </c>
      <c r="J34" s="236">
        <f>+J31+J33</f>
        <v/>
      </c>
    </row>
    <row r="35" ht="12.75" customHeight="1" s="148">
      <c r="B35" s="213" t="inlineStr">
        <is>
          <t>(-) Interest Expense</t>
        </is>
      </c>
      <c r="F35" s="243">
        <f>+$I$8*F150</f>
        <v/>
      </c>
      <c r="G35" s="243">
        <f>+$I$8*G150</f>
        <v/>
      </c>
      <c r="H35" s="243">
        <f>+$I$8*H150</f>
        <v/>
      </c>
      <c r="I35" s="243">
        <f>+$I$8*I150</f>
        <v/>
      </c>
      <c r="J35" s="243">
        <f>+$I$8*J150</f>
        <v/>
      </c>
    </row>
    <row r="36" ht="12.75" customHeight="1" s="148">
      <c r="B36" s="213" t="inlineStr">
        <is>
          <t>(+) Interest Income</t>
        </is>
      </c>
      <c r="F36" s="243">
        <f>+$I$8*F148</f>
        <v/>
      </c>
      <c r="G36" s="243">
        <f>+$I$8*G148</f>
        <v/>
      </c>
      <c r="H36" s="243">
        <f>+$I$8*H148</f>
        <v/>
      </c>
      <c r="I36" s="243">
        <f>+$I$8*I148</f>
        <v/>
      </c>
      <c r="J36" s="243">
        <f>+$I$8*J148</f>
        <v/>
      </c>
    </row>
    <row r="37" ht="12.75" customHeight="1" s="148">
      <c r="B37" s="213" t="inlineStr">
        <is>
          <t>(-) Amort. Of Fin Fee</t>
        </is>
      </c>
      <c r="F37" s="227">
        <f>+-$J$13/$E$6</f>
        <v/>
      </c>
      <c r="G37" s="227">
        <f>+-$J$13/$E$6</f>
        <v/>
      </c>
      <c r="H37" s="227">
        <f>+-$J$13/$E$6</f>
        <v/>
      </c>
      <c r="I37" s="227">
        <f>+-$J$13/$E$6</f>
        <v/>
      </c>
      <c r="J37" s="227">
        <f>+-$J$13/$E$6</f>
        <v/>
      </c>
    </row>
    <row r="38" ht="12.75" customHeight="1" s="148">
      <c r="B38" s="235" t="inlineStr">
        <is>
          <t>EBT</t>
        </is>
      </c>
      <c r="C38" s="235" t="n"/>
      <c r="D38" s="235" t="n"/>
      <c r="E38" s="235" t="n"/>
      <c r="F38" s="236">
        <f>SUM(F34:F37)</f>
        <v/>
      </c>
      <c r="G38" s="236">
        <f>SUM(G34:G37)</f>
        <v/>
      </c>
      <c r="H38" s="236">
        <f>SUM(H34:H37)</f>
        <v/>
      </c>
      <c r="I38" s="236">
        <f>SUM(I34:I37)</f>
        <v/>
      </c>
      <c r="J38" s="236">
        <f>SUM(J34:J37)</f>
        <v/>
      </c>
    </row>
    <row r="39" ht="12.75" customHeight="1" s="148">
      <c r="B39" s="213" t="inlineStr">
        <is>
          <t>(-) Taxes</t>
        </is>
      </c>
      <c r="F39" s="227">
        <f>+-F38*$I$6</f>
        <v/>
      </c>
      <c r="G39" s="227">
        <f>+-G38*$I$6</f>
        <v/>
      </c>
      <c r="H39" s="227">
        <f>+-H38*$I$6</f>
        <v/>
      </c>
      <c r="I39" s="227">
        <f>+-I38*$I$6</f>
        <v/>
      </c>
      <c r="J39" s="227">
        <f>+-J38*$I$6</f>
        <v/>
      </c>
    </row>
    <row r="40" ht="12.75" customHeight="1" s="148">
      <c r="B40" s="235" t="inlineStr">
        <is>
          <t>Net Income</t>
        </is>
      </c>
      <c r="C40" s="235" t="n"/>
      <c r="D40" s="235" t="n"/>
      <c r="E40" s="235" t="n"/>
      <c r="F40" s="236">
        <f>SUM(F38:F39)</f>
        <v/>
      </c>
      <c r="G40" s="236">
        <f>SUM(G38:G39)</f>
        <v/>
      </c>
      <c r="H40" s="236">
        <f>SUM(H38:H39)</f>
        <v/>
      </c>
      <c r="I40" s="236">
        <f>SUM(I38:I39)</f>
        <v/>
      </c>
      <c r="J40" s="236">
        <f>SUM(J38:J39)</f>
        <v/>
      </c>
    </row>
    <row r="41" ht="12.75" customHeight="1" s="148">
      <c r="F41" s="227" t="n"/>
      <c r="G41" s="227" t="n"/>
      <c r="H41" s="227" t="n"/>
      <c r="I41" s="227" t="n"/>
      <c r="J41" s="227" t="n"/>
    </row>
    <row r="42" ht="12.75" customHeight="1" s="148">
      <c r="B42" s="213" t="inlineStr">
        <is>
          <t>Incremental D&amp;A</t>
        </is>
      </c>
      <c r="F42" s="227">
        <f>+$E$21/$E$7</f>
        <v/>
      </c>
      <c r="G42" s="227">
        <f>+$E$21/$E$7</f>
        <v/>
      </c>
      <c r="H42" s="227">
        <f>+$E$21/$E$7</f>
        <v/>
      </c>
      <c r="I42" s="227">
        <f>+$E$21/$E$7</f>
        <v/>
      </c>
      <c r="J42" s="227">
        <f>+$E$21/$E$7</f>
        <v/>
      </c>
    </row>
    <row r="43" ht="12.75" customHeight="1" s="148">
      <c r="B43" s="213" t="inlineStr">
        <is>
          <t>DTL</t>
        </is>
      </c>
      <c r="F43" s="227">
        <f>+F42*$D$22</f>
        <v/>
      </c>
      <c r="G43" s="227">
        <f>+G42*$D$22</f>
        <v/>
      </c>
      <c r="H43" s="227">
        <f>+H42*$D$22</f>
        <v/>
      </c>
      <c r="I43" s="227">
        <f>+I42*$D$22</f>
        <v/>
      </c>
      <c r="J43" s="227">
        <f>+J42*$D$22</f>
        <v/>
      </c>
    </row>
    <row r="44" ht="12.75" customHeight="1" s="148">
      <c r="B44" s="213" t="inlineStr">
        <is>
          <t>Capex</t>
        </is>
      </c>
      <c r="F44" s="227">
        <f>-F47*F33</f>
        <v/>
      </c>
      <c r="G44" s="227">
        <f>-G47*G33</f>
        <v/>
      </c>
      <c r="H44" s="227">
        <f>-H47*H33</f>
        <v/>
      </c>
      <c r="I44" s="227">
        <f>-I47*I33</f>
        <v/>
      </c>
      <c r="J44" s="227">
        <f>-J47*J33</f>
        <v/>
      </c>
    </row>
    <row r="46" ht="12.75" customHeight="1" s="148">
      <c r="B46" s="213" t="inlineStr">
        <is>
          <t>D&amp;A as % of Sales</t>
        </is>
      </c>
      <c r="F46" s="221" t="n">
        <v>0.047</v>
      </c>
      <c r="G46" s="244">
        <f>+F46</f>
        <v/>
      </c>
      <c r="H46" s="244">
        <f>+G46</f>
        <v/>
      </c>
      <c r="I46" s="244">
        <f>+H46</f>
        <v/>
      </c>
      <c r="J46" s="244">
        <f>+I46</f>
        <v/>
      </c>
    </row>
    <row r="47" ht="12.75" customHeight="1" s="148">
      <c r="B47" s="213" t="inlineStr">
        <is>
          <t>Capex as % of D&amp;A</t>
        </is>
      </c>
      <c r="F47" s="221" t="n">
        <v>0.72</v>
      </c>
      <c r="G47" s="244">
        <f>+F47</f>
        <v/>
      </c>
      <c r="H47" s="244">
        <f>+G47</f>
        <v/>
      </c>
      <c r="I47" s="244">
        <f>+H47</f>
        <v/>
      </c>
      <c r="J47" s="244">
        <f>+I47</f>
        <v/>
      </c>
    </row>
    <row r="49" ht="12.75" customHeight="1" s="148">
      <c r="A49" s="213" t="inlineStr">
        <is>
          <t>x</t>
        </is>
      </c>
      <c r="B49" s="237" t="inlineStr">
        <is>
          <t>WC Schedule</t>
        </is>
      </c>
      <c r="C49" s="237" t="n"/>
      <c r="D49" s="237" t="n"/>
      <c r="E49" s="237" t="n">
        <v>2013</v>
      </c>
      <c r="F49" s="237">
        <f>E49+1</f>
        <v/>
      </c>
      <c r="G49" s="237">
        <f>F49+1</f>
        <v/>
      </c>
      <c r="H49" s="237">
        <f>G49+1</f>
        <v/>
      </c>
      <c r="I49" s="237">
        <f>H49+1</f>
        <v/>
      </c>
      <c r="J49" s="237">
        <f>I49+1</f>
        <v/>
      </c>
    </row>
    <row r="50" ht="12.75" customHeight="1" s="148">
      <c r="B50" s="213" t="inlineStr">
        <is>
          <t>AR</t>
        </is>
      </c>
      <c r="E50" s="227">
        <f>+E26*E57/$I$5</f>
        <v/>
      </c>
      <c r="F50" s="227">
        <f>+F26*F57/$I$5</f>
        <v/>
      </c>
      <c r="G50" s="227">
        <f>+G26*G57/$I$5</f>
        <v/>
      </c>
      <c r="H50" s="227">
        <f>+H26*H57/$I$5</f>
        <v/>
      </c>
      <c r="I50" s="227">
        <f>+I26*I57/$I$5</f>
        <v/>
      </c>
      <c r="J50" s="227">
        <f>+J26*J57/$I$5</f>
        <v/>
      </c>
    </row>
    <row r="51" ht="12.75" customHeight="1" s="148">
      <c r="B51" s="213" t="inlineStr">
        <is>
          <t>Inventory</t>
        </is>
      </c>
      <c r="E51" s="227">
        <f>-E28/E58</f>
        <v/>
      </c>
      <c r="F51" s="227">
        <f>-F28/F58</f>
        <v/>
      </c>
      <c r="G51" s="227">
        <f>-G28/G58</f>
        <v/>
      </c>
      <c r="H51" s="227">
        <f>-H28/H58</f>
        <v/>
      </c>
      <c r="I51" s="227">
        <f>-I28/I58</f>
        <v/>
      </c>
      <c r="J51" s="227">
        <f>-J28/J58</f>
        <v/>
      </c>
    </row>
    <row r="52" ht="12.75" customHeight="1" s="148">
      <c r="B52" s="213" t="inlineStr">
        <is>
          <t>AP</t>
        </is>
      </c>
      <c r="E52" s="227">
        <f>-E28*E59/$I$5</f>
        <v/>
      </c>
      <c r="F52" s="227">
        <f>-F28*F59/$I$5</f>
        <v/>
      </c>
      <c r="G52" s="227">
        <f>-G28*G59/$I$5</f>
        <v/>
      </c>
      <c r="H52" s="227">
        <f>-H28*H59/$I$5</f>
        <v/>
      </c>
      <c r="I52" s="227">
        <f>-I28*I59/$I$5</f>
        <v/>
      </c>
      <c r="J52" s="227">
        <f>-J28*J59/$I$5</f>
        <v/>
      </c>
    </row>
    <row r="53" ht="12.75" customHeight="1" s="148">
      <c r="B53" s="233" t="inlineStr">
        <is>
          <t>WC</t>
        </is>
      </c>
      <c r="C53" s="233" t="n"/>
      <c r="D53" s="233" t="n"/>
      <c r="E53" s="234">
        <f>+E50+E51-E52</f>
        <v/>
      </c>
      <c r="F53" s="234">
        <f>+F50+F51-F52</f>
        <v/>
      </c>
      <c r="G53" s="234">
        <f>+G50+G51-G52</f>
        <v/>
      </c>
      <c r="H53" s="234">
        <f>+H50+H51-H52</f>
        <v/>
      </c>
      <c r="I53" s="234">
        <f>+I50+I51-I52</f>
        <v/>
      </c>
      <c r="J53" s="234">
        <f>+J50+J51-J52</f>
        <v/>
      </c>
    </row>
    <row r="54" ht="12.75" customHeight="1" s="148">
      <c r="B54" s="213" t="inlineStr">
        <is>
          <t>Change in WC</t>
        </is>
      </c>
      <c r="E54" s="227" t="n"/>
      <c r="F54" s="227">
        <f>+F53-E53</f>
        <v/>
      </c>
      <c r="G54" s="227">
        <f>+G53-F53</f>
        <v/>
      </c>
      <c r="H54" s="227">
        <f>+H53-G53</f>
        <v/>
      </c>
      <c r="I54" s="227">
        <f>+I53-H53</f>
        <v/>
      </c>
      <c r="J54" s="227">
        <f>+J53-I53</f>
        <v/>
      </c>
    </row>
    <row r="56" ht="12.75" customHeight="1" s="148">
      <c r="B56" s="245" t="inlineStr">
        <is>
          <t>Metrics</t>
        </is>
      </c>
    </row>
    <row r="57" ht="12.75" customHeight="1" s="148">
      <c r="B57" s="213" t="inlineStr">
        <is>
          <t>AR</t>
        </is>
      </c>
      <c r="E57" s="246" t="n">
        <v>20</v>
      </c>
      <c r="F57" s="247">
        <f>+E57</f>
        <v/>
      </c>
      <c r="G57" s="247">
        <f>+F57</f>
        <v/>
      </c>
      <c r="H57" s="247">
        <f>+G57</f>
        <v/>
      </c>
      <c r="I57" s="247">
        <f>+H57</f>
        <v/>
      </c>
      <c r="J57" s="247">
        <f>+I57</f>
        <v/>
      </c>
    </row>
    <row r="58" ht="12.75" customHeight="1" s="148">
      <c r="B58" s="213" t="inlineStr">
        <is>
          <t>Inventory</t>
        </is>
      </c>
      <c r="E58" s="216" t="n">
        <v>8</v>
      </c>
      <c r="F58" s="248">
        <f>+E58</f>
        <v/>
      </c>
      <c r="G58" s="248">
        <f>+F58</f>
        <v/>
      </c>
      <c r="H58" s="248">
        <f>+G58</f>
        <v/>
      </c>
      <c r="I58" s="248">
        <f>+H58</f>
        <v/>
      </c>
      <c r="J58" s="248">
        <f>+I58</f>
        <v/>
      </c>
    </row>
    <row r="59" ht="12.75" customHeight="1" s="148">
      <c r="B59" s="213" t="inlineStr">
        <is>
          <t>AP</t>
        </is>
      </c>
      <c r="E59" s="246" t="n">
        <v>60</v>
      </c>
      <c r="F59" s="247">
        <f>+E59</f>
        <v/>
      </c>
      <c r="G59" s="247">
        <f>+F59</f>
        <v/>
      </c>
      <c r="H59" s="247">
        <f>+G59</f>
        <v/>
      </c>
      <c r="I59" s="247">
        <f>+H59</f>
        <v/>
      </c>
      <c r="J59" s="247">
        <f>+I59</f>
        <v/>
      </c>
    </row>
    <row r="61" ht="12.75" customHeight="1" s="148">
      <c r="A61" s="213" t="inlineStr">
        <is>
          <t>x</t>
        </is>
      </c>
      <c r="B61" s="237" t="inlineStr">
        <is>
          <t>Cap Table</t>
        </is>
      </c>
      <c r="C61" s="237" t="n"/>
      <c r="D61" s="237" t="n"/>
      <c r="E61" s="237" t="n">
        <v>2013</v>
      </c>
      <c r="F61" s="237">
        <f>E61+1</f>
        <v/>
      </c>
      <c r="G61" s="237">
        <f>F61+1</f>
        <v/>
      </c>
      <c r="H61" s="237">
        <f>G61+1</f>
        <v/>
      </c>
      <c r="I61" s="237">
        <f>H61+1</f>
        <v/>
      </c>
      <c r="J61" s="237">
        <f>I61+1</f>
        <v/>
      </c>
    </row>
    <row r="62" ht="12.75" customHeight="1" s="148">
      <c r="B62" s="213" t="inlineStr">
        <is>
          <t>Cash</t>
        </is>
      </c>
      <c r="E62" s="249" t="n">
        <v>0</v>
      </c>
      <c r="F62" s="228">
        <f>+E62+F92</f>
        <v/>
      </c>
      <c r="G62" s="228">
        <f>+F62+G92</f>
        <v/>
      </c>
      <c r="H62" s="228">
        <f>+G62+H92</f>
        <v/>
      </c>
      <c r="I62" s="228">
        <f>+H62+I92</f>
        <v/>
      </c>
      <c r="J62" s="228">
        <f>+I62+J92</f>
        <v/>
      </c>
    </row>
    <row r="63" ht="12.75" customHeight="1" s="148">
      <c r="E63" s="249" t="n"/>
      <c r="F63" s="228" t="n"/>
      <c r="G63" s="228" t="n"/>
      <c r="H63" s="228" t="n"/>
      <c r="I63" s="228" t="n"/>
      <c r="J63" s="228" t="n"/>
    </row>
    <row r="64" ht="12.75" customHeight="1" s="148">
      <c r="B64" s="213" t="inlineStr">
        <is>
          <t>Revolver</t>
        </is>
      </c>
      <c r="E64" s="249" t="n">
        <v>0</v>
      </c>
      <c r="F64" s="228">
        <f>+F111</f>
        <v/>
      </c>
      <c r="G64" s="228">
        <f>+G111</f>
        <v/>
      </c>
      <c r="H64" s="228">
        <f>+H111</f>
        <v/>
      </c>
      <c r="I64" s="228">
        <f>+I111</f>
        <v/>
      </c>
      <c r="J64" s="228">
        <f>+J111</f>
        <v/>
      </c>
    </row>
    <row r="65" ht="12.75" customHeight="1" s="148">
      <c r="B65" s="213" t="inlineStr">
        <is>
          <t>Term Loan</t>
        </is>
      </c>
      <c r="E65" s="228">
        <f>+E11</f>
        <v/>
      </c>
      <c r="F65" s="228">
        <f>+F121</f>
        <v/>
      </c>
      <c r="G65" s="228">
        <f>+G121</f>
        <v/>
      </c>
      <c r="H65" s="228">
        <f>+H121</f>
        <v/>
      </c>
      <c r="I65" s="228">
        <f>+I121</f>
        <v/>
      </c>
      <c r="J65" s="228">
        <f>+J121</f>
        <v/>
      </c>
    </row>
    <row r="66" ht="12.75" customHeight="1" s="148">
      <c r="B66" s="213" t="inlineStr">
        <is>
          <t>Mezz Loan</t>
        </is>
      </c>
      <c r="E66" s="228">
        <f>+E12</f>
        <v/>
      </c>
      <c r="F66" s="228">
        <f>+F132</f>
        <v/>
      </c>
      <c r="G66" s="228">
        <f>+G132</f>
        <v/>
      </c>
      <c r="H66" s="228">
        <f>+H132</f>
        <v/>
      </c>
      <c r="I66" s="228">
        <f>+I132</f>
        <v/>
      </c>
      <c r="J66" s="228">
        <f>+J132</f>
        <v/>
      </c>
    </row>
    <row r="67" ht="12.75" customHeight="1" s="148">
      <c r="B67" s="233" t="inlineStr">
        <is>
          <t>Total Debt</t>
        </is>
      </c>
      <c r="C67" s="233" t="n"/>
      <c r="D67" s="233" t="n"/>
      <c r="E67" s="234">
        <f>SUM(E64:E66)</f>
        <v/>
      </c>
      <c r="F67" s="234">
        <f>SUM(F64:F66)</f>
        <v/>
      </c>
      <c r="G67" s="234">
        <f>SUM(G64:G66)</f>
        <v/>
      </c>
      <c r="H67" s="234">
        <f>SUM(H64:H66)</f>
        <v/>
      </c>
      <c r="I67" s="234">
        <f>SUM(I64:I66)</f>
        <v/>
      </c>
      <c r="J67" s="234">
        <f>SUM(J64:J66)</f>
        <v/>
      </c>
    </row>
    <row r="68" ht="12.75" customHeight="1" s="148">
      <c r="B68" s="213" t="inlineStr">
        <is>
          <t>Equity</t>
        </is>
      </c>
      <c r="E68" s="228">
        <f>SUM(E13:E14)-J12</f>
        <v/>
      </c>
      <c r="F68" s="228">
        <f>+E68+F40</f>
        <v/>
      </c>
      <c r="G68" s="228">
        <f>+F68+G40</f>
        <v/>
      </c>
      <c r="H68" s="228">
        <f>+G68+H40</f>
        <v/>
      </c>
      <c r="I68" s="228">
        <f>+H68+I40</f>
        <v/>
      </c>
      <c r="J68" s="228">
        <f>+I68+J40</f>
        <v/>
      </c>
    </row>
    <row r="69" ht="12.75" customHeight="1" s="148">
      <c r="B69" s="233" t="inlineStr">
        <is>
          <t>Total Cap</t>
        </is>
      </c>
      <c r="C69" s="233" t="n"/>
      <c r="D69" s="233" t="n"/>
      <c r="E69" s="234">
        <f>SUM(E67:E68)</f>
        <v/>
      </c>
      <c r="F69" s="234">
        <f>SUM(F67:F68)</f>
        <v/>
      </c>
      <c r="G69" s="234">
        <f>SUM(G67:G68)</f>
        <v/>
      </c>
      <c r="H69" s="234">
        <f>SUM(H67:H68)</f>
        <v/>
      </c>
      <c r="I69" s="234">
        <f>SUM(I67:I68)</f>
        <v/>
      </c>
      <c r="J69" s="234">
        <f>SUM(J67:J68)</f>
        <v/>
      </c>
    </row>
    <row r="71" ht="12.75" customHeight="1" s="148">
      <c r="B71" s="213" t="inlineStr">
        <is>
          <t>Term Loan / EBITDA</t>
        </is>
      </c>
      <c r="E71" s="250">
        <f>+E65/$E$31</f>
        <v/>
      </c>
      <c r="F71" s="250">
        <f>+F65/$E$31</f>
        <v/>
      </c>
      <c r="G71" s="250">
        <f>+G65/$E$31</f>
        <v/>
      </c>
      <c r="H71" s="250">
        <f>+H65/$E$31</f>
        <v/>
      </c>
      <c r="I71" s="250">
        <f>+I65/$E$31</f>
        <v/>
      </c>
      <c r="J71" s="250">
        <f>+J65/$E$31</f>
        <v/>
      </c>
    </row>
    <row r="72" ht="12.75" customHeight="1" s="148">
      <c r="B72" s="213" t="inlineStr">
        <is>
          <t>Mezz Loan / EBITDA</t>
        </is>
      </c>
      <c r="E72" s="250">
        <f>+E66/$E$31</f>
        <v/>
      </c>
      <c r="F72" s="250">
        <f>+F66/$E$31</f>
        <v/>
      </c>
      <c r="G72" s="250">
        <f>+G66/$E$31</f>
        <v/>
      </c>
      <c r="H72" s="250">
        <f>+H66/$E$31</f>
        <v/>
      </c>
      <c r="I72" s="250">
        <f>+I66/$E$31</f>
        <v/>
      </c>
      <c r="J72" s="250">
        <f>+J66/$E$31</f>
        <v/>
      </c>
    </row>
    <row r="73" ht="12.75" customHeight="1" s="148">
      <c r="B73" s="213" t="inlineStr">
        <is>
          <t>Total Debt / EBITDA</t>
        </is>
      </c>
      <c r="E73" s="250">
        <f>+E67/$E$31</f>
        <v/>
      </c>
      <c r="F73" s="250">
        <f>+F67/$E$31</f>
        <v/>
      </c>
      <c r="G73" s="250">
        <f>+G67/$E$31</f>
        <v/>
      </c>
      <c r="H73" s="250">
        <f>+H67/$E$31</f>
        <v/>
      </c>
      <c r="I73" s="250">
        <f>+I67/$E$31</f>
        <v/>
      </c>
      <c r="J73" s="250">
        <f>+J67/$E$31</f>
        <v/>
      </c>
    </row>
    <row r="74" ht="12.75" customHeight="1" s="148">
      <c r="B74" s="213" t="inlineStr">
        <is>
          <t>Total Debt / Cap</t>
        </is>
      </c>
      <c r="E74" s="251">
        <f>+E67/E69</f>
        <v/>
      </c>
      <c r="F74" s="251">
        <f>+F67/F69</f>
        <v/>
      </c>
      <c r="G74" s="251">
        <f>+G67/G69</f>
        <v/>
      </c>
      <c r="H74" s="251">
        <f>+H67/H69</f>
        <v/>
      </c>
      <c r="I74" s="251">
        <f>+I67/I69</f>
        <v/>
      </c>
      <c r="J74" s="251">
        <f>+J67/J69</f>
        <v/>
      </c>
    </row>
    <row r="76" ht="12.75" customHeight="1" s="148">
      <c r="A76" s="213" t="inlineStr">
        <is>
          <t>x</t>
        </is>
      </c>
      <c r="B76" s="237" t="inlineStr">
        <is>
          <t>Cash Flow Statement</t>
        </is>
      </c>
      <c r="C76" s="237" t="n"/>
      <c r="D76" s="237" t="n"/>
      <c r="E76" s="237" t="n">
        <v>2013</v>
      </c>
      <c r="F76" s="237">
        <f>E76+1</f>
        <v/>
      </c>
      <c r="G76" s="237">
        <f>F76+1</f>
        <v/>
      </c>
      <c r="H76" s="237">
        <f>G76+1</f>
        <v/>
      </c>
      <c r="I76" s="237">
        <f>H76+1</f>
        <v/>
      </c>
      <c r="J76" s="237">
        <f>I76+1</f>
        <v/>
      </c>
    </row>
    <row r="77" ht="12.75" customHeight="1" s="148">
      <c r="B77" s="213" t="inlineStr">
        <is>
          <t>Net Income</t>
        </is>
      </c>
      <c r="F77" s="227">
        <f>+F40</f>
        <v/>
      </c>
      <c r="G77" s="227">
        <f>+G40</f>
        <v/>
      </c>
      <c r="H77" s="227">
        <f>+H40</f>
        <v/>
      </c>
      <c r="I77" s="227">
        <f>+I40</f>
        <v/>
      </c>
      <c r="J77" s="227">
        <f>+J40</f>
        <v/>
      </c>
    </row>
    <row r="78" ht="12.75" customHeight="1" s="148">
      <c r="B78" s="213" t="inlineStr">
        <is>
          <t>(+) D&amp;A</t>
        </is>
      </c>
      <c r="F78" s="227">
        <f>+-F33</f>
        <v/>
      </c>
      <c r="G78" s="227">
        <f>+-G33</f>
        <v/>
      </c>
      <c r="H78" s="227">
        <f>+-H33</f>
        <v/>
      </c>
      <c r="I78" s="227">
        <f>+-I33</f>
        <v/>
      </c>
      <c r="J78" s="227">
        <f>+-J33</f>
        <v/>
      </c>
    </row>
    <row r="79" ht="12.75" customHeight="1" s="148">
      <c r="B79" s="213" t="inlineStr">
        <is>
          <t>(-) DTL</t>
        </is>
      </c>
      <c r="F79" s="227">
        <f>+F43</f>
        <v/>
      </c>
      <c r="G79" s="227">
        <f>+G43</f>
        <v/>
      </c>
      <c r="H79" s="227">
        <f>+H43</f>
        <v/>
      </c>
      <c r="I79" s="227">
        <f>+I43</f>
        <v/>
      </c>
      <c r="J79" s="227">
        <f>+J43</f>
        <v/>
      </c>
    </row>
    <row r="80" ht="12.75" customHeight="1" s="148">
      <c r="B80" s="213" t="inlineStr">
        <is>
          <t>(+) PIK</t>
        </is>
      </c>
      <c r="F80" s="227">
        <f>-+F139</f>
        <v/>
      </c>
      <c r="G80" s="227">
        <f>-+G139</f>
        <v/>
      </c>
      <c r="H80" s="227">
        <f>-+H139</f>
        <v/>
      </c>
      <c r="I80" s="227">
        <f>-+I139</f>
        <v/>
      </c>
      <c r="J80" s="227">
        <f>-+J139</f>
        <v/>
      </c>
    </row>
    <row r="81" ht="12.75" customHeight="1" s="148">
      <c r="B81" s="213" t="inlineStr">
        <is>
          <t>(+) Amort Fee</t>
        </is>
      </c>
      <c r="F81" s="227">
        <f>+-F37</f>
        <v/>
      </c>
      <c r="G81" s="227">
        <f>+-G37</f>
        <v/>
      </c>
      <c r="H81" s="227">
        <f>+-H37</f>
        <v/>
      </c>
      <c r="I81" s="227">
        <f>+-I37</f>
        <v/>
      </c>
      <c r="J81" s="227">
        <f>+-J37</f>
        <v/>
      </c>
    </row>
    <row r="82" ht="12.75" customHeight="1" s="148">
      <c r="B82" s="213" t="inlineStr">
        <is>
          <t>(-) Change WC</t>
        </is>
      </c>
      <c r="F82" s="227">
        <f>+-F54</f>
        <v/>
      </c>
      <c r="G82" s="227">
        <f>+-G54</f>
        <v/>
      </c>
      <c r="H82" s="227">
        <f>+-H54</f>
        <v/>
      </c>
      <c r="I82" s="227">
        <f>+-I54</f>
        <v/>
      </c>
      <c r="J82" s="227">
        <f>+-J54</f>
        <v/>
      </c>
    </row>
    <row r="83" ht="12.75" customHeight="1" s="148">
      <c r="B83" s="233" t="inlineStr">
        <is>
          <t>CFO</t>
        </is>
      </c>
      <c r="C83" s="233" t="n"/>
      <c r="D83" s="233" t="n"/>
      <c r="E83" s="233" t="n"/>
      <c r="F83" s="234">
        <f>SUM(F77:F82)</f>
        <v/>
      </c>
      <c r="G83" s="234">
        <f>SUM(G77:G82)</f>
        <v/>
      </c>
      <c r="H83" s="234">
        <f>SUM(H77:H82)</f>
        <v/>
      </c>
      <c r="I83" s="234">
        <f>SUM(I77:I82)</f>
        <v/>
      </c>
      <c r="J83" s="234">
        <f>SUM(J77:J82)</f>
        <v/>
      </c>
    </row>
    <row r="84" ht="12.75" customHeight="1" s="148">
      <c r="F84" s="227" t="n"/>
      <c r="G84" s="227" t="n"/>
      <c r="H84" s="227" t="n"/>
      <c r="I84" s="227" t="n"/>
      <c r="J84" s="227" t="n"/>
    </row>
    <row r="85" ht="12.75" customHeight="1" s="148">
      <c r="B85" s="213" t="inlineStr">
        <is>
          <t>Capex</t>
        </is>
      </c>
      <c r="F85" s="227">
        <f>+-F44</f>
        <v/>
      </c>
      <c r="G85" s="227">
        <f>+-G44</f>
        <v/>
      </c>
      <c r="H85" s="227">
        <f>+-H44</f>
        <v/>
      </c>
      <c r="I85" s="227">
        <f>+-I44</f>
        <v/>
      </c>
      <c r="J85" s="227">
        <f>+-J44</f>
        <v/>
      </c>
    </row>
    <row r="86" ht="12.75" customHeight="1" s="148">
      <c r="B86" s="233" t="inlineStr">
        <is>
          <t>CFI</t>
        </is>
      </c>
      <c r="C86" s="233" t="n"/>
      <c r="D86" s="233" t="n"/>
      <c r="E86" s="233" t="n"/>
      <c r="F86" s="234">
        <f>SUM(F85)</f>
        <v/>
      </c>
      <c r="G86" s="234">
        <f>SUM(G85)</f>
        <v/>
      </c>
      <c r="H86" s="234">
        <f>SUM(H85)</f>
        <v/>
      </c>
      <c r="I86" s="234">
        <f>SUM(I85)</f>
        <v/>
      </c>
      <c r="J86" s="234">
        <f>SUM(J85)</f>
        <v/>
      </c>
    </row>
    <row r="87" ht="12.75" customHeight="1" s="148">
      <c r="F87" s="227" t="n"/>
      <c r="G87" s="227" t="n"/>
      <c r="H87" s="227" t="n"/>
      <c r="I87" s="227" t="n"/>
      <c r="J87" s="227" t="n"/>
    </row>
    <row r="88" ht="12.75" customHeight="1" s="148">
      <c r="B88" s="213" t="inlineStr">
        <is>
          <t>Mand. Paymnet</t>
        </is>
      </c>
      <c r="F88" s="227">
        <f>+F119</f>
        <v/>
      </c>
      <c r="G88" s="227">
        <f>+G119</f>
        <v/>
      </c>
      <c r="H88" s="227">
        <f>+H119</f>
        <v/>
      </c>
      <c r="I88" s="227">
        <f>+I119</f>
        <v/>
      </c>
      <c r="J88" s="227">
        <f>+J119</f>
        <v/>
      </c>
    </row>
    <row r="89" ht="12.75" customHeight="1" s="148">
      <c r="B89" s="213" t="inlineStr">
        <is>
          <t>Optional Payment</t>
        </is>
      </c>
      <c r="F89" s="227">
        <f>+SUM(F100,F102,F104)</f>
        <v/>
      </c>
      <c r="G89" s="227">
        <f>+SUM(G100,G102,G104)</f>
        <v/>
      </c>
      <c r="H89" s="227">
        <f>+SUM(H100,H102,H104)</f>
        <v/>
      </c>
      <c r="I89" s="227">
        <f>+SUM(I100,I102,I104)</f>
        <v/>
      </c>
      <c r="J89" s="227">
        <f>+SUM(J100,J102,J104)</f>
        <v/>
      </c>
    </row>
    <row r="90" ht="12.75" customHeight="1" s="148">
      <c r="B90" s="233" t="inlineStr">
        <is>
          <t>CFF</t>
        </is>
      </c>
      <c r="C90" s="233" t="n"/>
      <c r="D90" s="233" t="n"/>
      <c r="E90" s="233" t="n"/>
      <c r="F90" s="234">
        <f>SUM(F88:F89)</f>
        <v/>
      </c>
      <c r="G90" s="234">
        <f>SUM(G88:G89)</f>
        <v/>
      </c>
      <c r="H90" s="234">
        <f>SUM(H88:H89)</f>
        <v/>
      </c>
      <c r="I90" s="234">
        <f>SUM(I88:I89)</f>
        <v/>
      </c>
      <c r="J90" s="234">
        <f>SUM(J88:J89)</f>
        <v/>
      </c>
    </row>
    <row r="91" ht="12.75" customHeight="1" s="148">
      <c r="F91" s="227" t="n"/>
      <c r="G91" s="227" t="n"/>
      <c r="H91" s="227" t="n"/>
      <c r="I91" s="227" t="n"/>
      <c r="J91" s="227" t="n"/>
    </row>
    <row r="92" ht="12.75" customHeight="1" s="148">
      <c r="B92" s="213" t="inlineStr">
        <is>
          <t>Change in Cash</t>
        </is>
      </c>
      <c r="F92" s="227">
        <f>+SUM(F83,F86,F90)</f>
        <v/>
      </c>
      <c r="G92" s="227">
        <f>+SUM(G83,G86,G90)</f>
        <v/>
      </c>
      <c r="H92" s="227">
        <f>+SUM(H83,H86,H90)</f>
        <v/>
      </c>
      <c r="I92" s="227">
        <f>+SUM(I83,I86,I90)</f>
        <v/>
      </c>
      <c r="J92" s="227">
        <f>+SUM(J83,J86,J90)</f>
        <v/>
      </c>
    </row>
    <row r="94" ht="12.75" customHeight="1" s="148">
      <c r="A94" s="213" t="inlineStr">
        <is>
          <t>x</t>
        </is>
      </c>
      <c r="B94" s="237" t="inlineStr">
        <is>
          <t>Debt Paydown</t>
        </is>
      </c>
      <c r="C94" s="237" t="n"/>
      <c r="D94" s="237" t="n"/>
      <c r="E94" s="237" t="n">
        <v>2013</v>
      </c>
      <c r="F94" s="237">
        <f>E94+1</f>
        <v/>
      </c>
      <c r="G94" s="237">
        <f>F94+1</f>
        <v/>
      </c>
      <c r="H94" s="237">
        <f>G94+1</f>
        <v/>
      </c>
      <c r="I94" s="237">
        <f>H94+1</f>
        <v/>
      </c>
      <c r="J94" s="237">
        <f>I94+1</f>
        <v/>
      </c>
    </row>
    <row r="95" ht="12.75" customHeight="1" s="148">
      <c r="B95" s="213" t="inlineStr">
        <is>
          <t>Beg Cash</t>
        </is>
      </c>
      <c r="E95" s="227" t="n"/>
      <c r="F95" s="227">
        <f>+E62</f>
        <v/>
      </c>
      <c r="G95" s="227">
        <f>+F62</f>
        <v/>
      </c>
      <c r="H95" s="227">
        <f>+G62</f>
        <v/>
      </c>
      <c r="I95" s="227">
        <f>+H62</f>
        <v/>
      </c>
      <c r="J95" s="227">
        <f>+I62</f>
        <v/>
      </c>
    </row>
    <row r="96" ht="12.75" customHeight="1" s="148">
      <c r="B96" s="213" t="inlineStr">
        <is>
          <t>(-) Min Cash</t>
        </is>
      </c>
      <c r="E96" s="227" t="n"/>
      <c r="F96" s="249" t="n">
        <v>-2000</v>
      </c>
      <c r="G96" s="249" t="n">
        <v>-2000</v>
      </c>
      <c r="H96" s="249" t="n">
        <v>-2000</v>
      </c>
      <c r="I96" s="249" t="n">
        <v>-2000</v>
      </c>
      <c r="J96" s="249" t="n">
        <v>-2000</v>
      </c>
    </row>
    <row r="97" ht="12.75" customHeight="1" s="148">
      <c r="B97" s="213" t="inlineStr">
        <is>
          <t>(+) CFO + CFI</t>
        </is>
      </c>
      <c r="E97" s="227" t="n"/>
      <c r="F97" s="227">
        <f>+F83+F86</f>
        <v/>
      </c>
      <c r="G97" s="227">
        <f>+G83+G86</f>
        <v/>
      </c>
      <c r="H97" s="227">
        <f>+H83+H86</f>
        <v/>
      </c>
      <c r="I97" s="227">
        <f>+I83+I86</f>
        <v/>
      </c>
      <c r="J97" s="227">
        <f>+J83+J86</f>
        <v/>
      </c>
    </row>
    <row r="98" ht="12.75" customHeight="1" s="148">
      <c r="B98" s="213" t="inlineStr">
        <is>
          <t>(-) Mand. Payment</t>
        </is>
      </c>
      <c r="E98" s="227" t="n"/>
      <c r="F98" s="227">
        <f>+F88</f>
        <v/>
      </c>
      <c r="G98" s="227">
        <f>+G88</f>
        <v/>
      </c>
      <c r="H98" s="227">
        <f>+H88</f>
        <v/>
      </c>
      <c r="I98" s="227">
        <f>+I88</f>
        <v/>
      </c>
      <c r="J98" s="227">
        <f>+J88</f>
        <v/>
      </c>
    </row>
    <row r="99" ht="12.75" customHeight="1" s="148">
      <c r="B99" s="233" t="inlineStr">
        <is>
          <t>Cash Avail for Revolver</t>
        </is>
      </c>
      <c r="C99" s="233" t="n"/>
      <c r="D99" s="233" t="n"/>
      <c r="E99" s="234" t="n"/>
      <c r="F99" s="234">
        <f>SUM(F95:F98)</f>
        <v/>
      </c>
      <c r="G99" s="234">
        <f>SUM(G95:G98)</f>
        <v/>
      </c>
      <c r="H99" s="234">
        <f>SUM(H95:H98)</f>
        <v/>
      </c>
      <c r="I99" s="234">
        <f>SUM(I95:I98)</f>
        <v/>
      </c>
      <c r="J99" s="234">
        <f>SUM(J95:J98)</f>
        <v/>
      </c>
    </row>
    <row r="100" ht="12.75" customHeight="1" s="148">
      <c r="B100" s="213" t="inlineStr">
        <is>
          <t>(-) Drawdown / Paydown</t>
        </is>
      </c>
      <c r="E100" s="227" t="n"/>
      <c r="F100" s="227">
        <f>+SUM(F109:F110)</f>
        <v/>
      </c>
      <c r="G100" s="227">
        <f>+SUM(G109:G110)</f>
        <v/>
      </c>
      <c r="H100" s="227">
        <f>+SUM(H109:H110)</f>
        <v/>
      </c>
      <c r="I100" s="227">
        <f>+SUM(I109:I110)</f>
        <v/>
      </c>
      <c r="J100" s="227">
        <f>+SUM(J109:J110)</f>
        <v/>
      </c>
    </row>
    <row r="101" ht="12.75" customHeight="1" s="148">
      <c r="B101" s="233" t="inlineStr">
        <is>
          <t>Cash Avail for Term Loan</t>
        </is>
      </c>
      <c r="C101" s="233" t="n"/>
      <c r="D101" s="233" t="n"/>
      <c r="E101" s="234" t="n"/>
      <c r="F101" s="234">
        <f>SUM(F99:F100)</f>
        <v/>
      </c>
      <c r="G101" s="234">
        <f>SUM(G99:G100)</f>
        <v/>
      </c>
      <c r="H101" s="234">
        <f>SUM(H99:H100)</f>
        <v/>
      </c>
      <c r="I101" s="234">
        <f>SUM(I99:I100)</f>
        <v/>
      </c>
      <c r="J101" s="234">
        <f>SUM(J99:J100)</f>
        <v/>
      </c>
    </row>
    <row r="102" ht="12.75" customHeight="1" s="148">
      <c r="B102" s="213" t="inlineStr">
        <is>
          <t>(-) Paydown</t>
        </is>
      </c>
      <c r="E102" s="227" t="n"/>
      <c r="F102" s="227">
        <f>+F120</f>
        <v/>
      </c>
      <c r="G102" s="227">
        <f>+G120</f>
        <v/>
      </c>
      <c r="H102" s="227">
        <f>+H120</f>
        <v/>
      </c>
      <c r="I102" s="227">
        <f>+I120</f>
        <v/>
      </c>
      <c r="J102" s="227">
        <f>+J120</f>
        <v/>
      </c>
    </row>
    <row r="103" ht="12.75" customHeight="1" s="148">
      <c r="B103" s="233" t="inlineStr">
        <is>
          <t>Cash Avail for Mezz Loan</t>
        </is>
      </c>
      <c r="C103" s="233" t="n"/>
      <c r="D103" s="233" t="n"/>
      <c r="E103" s="234" t="n"/>
      <c r="F103" s="234">
        <f>SUM(F101:F102)</f>
        <v/>
      </c>
      <c r="G103" s="234">
        <f>SUM(G101:G102)</f>
        <v/>
      </c>
      <c r="H103" s="234">
        <f>SUM(H101:H102)</f>
        <v/>
      </c>
      <c r="I103" s="234">
        <f>SUM(I101:I102)</f>
        <v/>
      </c>
      <c r="J103" s="234">
        <f>SUM(J101:J102)</f>
        <v/>
      </c>
    </row>
    <row r="104" ht="12.75" customHeight="1" s="148">
      <c r="B104" s="213" t="inlineStr">
        <is>
          <t>(-) Paydown</t>
        </is>
      </c>
      <c r="E104" s="227" t="n"/>
      <c r="F104" s="227">
        <f>+F131</f>
        <v/>
      </c>
      <c r="G104" s="227">
        <f>+G131</f>
        <v/>
      </c>
      <c r="H104" s="227">
        <f>+H131</f>
        <v/>
      </c>
      <c r="I104" s="227">
        <f>+I131</f>
        <v/>
      </c>
      <c r="J104" s="227">
        <f>+J131</f>
        <v/>
      </c>
    </row>
    <row r="105" ht="12.75" customHeight="1" s="148">
      <c r="B105" s="233" t="inlineStr">
        <is>
          <t>Excess Cash</t>
        </is>
      </c>
      <c r="C105" s="233" t="n"/>
      <c r="D105" s="233" t="n"/>
      <c r="E105" s="234" t="n"/>
      <c r="F105" s="234">
        <f>SUM(F103:F104)</f>
        <v/>
      </c>
      <c r="G105" s="234">
        <f>SUM(G103:G104)</f>
        <v/>
      </c>
      <c r="H105" s="234">
        <f>SUM(H103:H104)</f>
        <v/>
      </c>
      <c r="I105" s="234">
        <f>SUM(I103:I104)</f>
        <v/>
      </c>
      <c r="J105" s="234">
        <f>SUM(J103:J104)</f>
        <v/>
      </c>
    </row>
    <row r="106" ht="12.75" customHeight="1" s="148">
      <c r="E106" s="227" t="n"/>
      <c r="F106" s="227" t="n"/>
      <c r="G106" s="227" t="n"/>
      <c r="H106" s="227" t="n"/>
      <c r="I106" s="227" t="n"/>
      <c r="J106" s="227" t="n"/>
    </row>
    <row r="107" ht="12.75" customHeight="1" s="148">
      <c r="B107" s="245" t="inlineStr">
        <is>
          <t>Revolver</t>
        </is>
      </c>
      <c r="E107" s="227" t="n"/>
      <c r="F107" s="227" t="n"/>
      <c r="G107" s="227" t="n"/>
      <c r="H107" s="227" t="n"/>
      <c r="I107" s="227" t="n"/>
      <c r="J107" s="227" t="n"/>
    </row>
    <row r="108" ht="12.75" customHeight="1" s="148">
      <c r="B108" s="213" t="inlineStr">
        <is>
          <t>Beg</t>
        </is>
      </c>
      <c r="E108" s="227" t="n"/>
      <c r="F108" s="227">
        <f>+E111</f>
        <v/>
      </c>
      <c r="G108" s="227">
        <f>+F111</f>
        <v/>
      </c>
      <c r="H108" s="227">
        <f>+G111</f>
        <v/>
      </c>
      <c r="I108" s="227">
        <f>+H111</f>
        <v/>
      </c>
      <c r="J108" s="227">
        <f>+I111</f>
        <v/>
      </c>
    </row>
    <row r="109" ht="12.75" customHeight="1" s="148">
      <c r="B109" s="213" t="inlineStr">
        <is>
          <t>Drawdown</t>
        </is>
      </c>
      <c r="E109" s="227" t="n"/>
      <c r="F109" s="227">
        <f>+-MIN(F99,0)</f>
        <v/>
      </c>
      <c r="G109" s="227">
        <f>+-MIN(G99,0)</f>
        <v/>
      </c>
      <c r="H109" s="227">
        <f>+-MIN(H99,0)</f>
        <v/>
      </c>
      <c r="I109" s="227">
        <f>+-MIN(I99,0)</f>
        <v/>
      </c>
      <c r="J109" s="227">
        <f>+-MIN(J99,0)</f>
        <v/>
      </c>
    </row>
    <row r="110" ht="12.75" customHeight="1" s="148">
      <c r="B110" s="213" t="inlineStr">
        <is>
          <t>Paydown</t>
        </is>
      </c>
      <c r="E110" s="227" t="n"/>
      <c r="F110" s="227">
        <f>+IF(F108&gt;0,-MIN(F108,MAX(F99,0)),0)</f>
        <v/>
      </c>
      <c r="G110" s="227">
        <f>+IF(G108&gt;0,-MIN(G108,MAX(G99,0)),0)</f>
        <v/>
      </c>
      <c r="H110" s="227">
        <f>+IF(H108&gt;0,-MIN(H108,MAX(H99,0)),0)</f>
        <v/>
      </c>
      <c r="I110" s="227">
        <f>+IF(I108&gt;0,-MIN(I108,MAX(I99,0)),0)</f>
        <v/>
      </c>
      <c r="J110" s="227">
        <f>+IF(J108&gt;0,-MIN(J108,MAX(J99,0)),0)</f>
        <v/>
      </c>
    </row>
    <row r="111" ht="12.75" customHeight="1" s="148">
      <c r="B111" s="233" t="inlineStr">
        <is>
          <t>End</t>
        </is>
      </c>
      <c r="C111" s="233" t="n"/>
      <c r="D111" s="233" t="n"/>
      <c r="E111" s="252" t="n">
        <v>0</v>
      </c>
      <c r="F111" s="234">
        <f>SUM(F108:F110)</f>
        <v/>
      </c>
      <c r="G111" s="234">
        <f>SUM(G108:G110)</f>
        <v/>
      </c>
      <c r="H111" s="234">
        <f>SUM(H108:H110)</f>
        <v/>
      </c>
      <c r="I111" s="234">
        <f>SUM(I108:I110)</f>
        <v/>
      </c>
      <c r="J111" s="234">
        <f>SUM(J108:J110)</f>
        <v/>
      </c>
    </row>
    <row r="112" ht="12.75" customHeight="1" s="148">
      <c r="E112" s="227" t="n"/>
      <c r="F112" s="227" t="n"/>
      <c r="G112" s="227" t="n"/>
      <c r="H112" s="227" t="n"/>
      <c r="I112" s="227" t="n"/>
      <c r="J112" s="227" t="n"/>
    </row>
    <row r="113" ht="12.75" customHeight="1" s="148">
      <c r="B113" s="213" t="inlineStr">
        <is>
          <t>Avg</t>
        </is>
      </c>
      <c r="E113" s="227" t="n"/>
      <c r="F113" s="227">
        <f>+E111</f>
        <v/>
      </c>
      <c r="G113" s="227">
        <f>+F111</f>
        <v/>
      </c>
      <c r="H113" s="227">
        <f>+G111</f>
        <v/>
      </c>
      <c r="I113" s="227">
        <f>+H111</f>
        <v/>
      </c>
      <c r="J113" s="227">
        <f>+I111</f>
        <v/>
      </c>
    </row>
    <row r="114" ht="12.75" customHeight="1" s="148">
      <c r="B114" s="213" t="inlineStr">
        <is>
          <t>Interest Rate</t>
        </is>
      </c>
      <c r="F114" s="221" t="n">
        <v>0.07000000000000001</v>
      </c>
      <c r="G114" s="244">
        <f>+F114</f>
        <v/>
      </c>
      <c r="H114" s="244">
        <f>+G114</f>
        <v/>
      </c>
      <c r="I114" s="244">
        <f>+H114</f>
        <v/>
      </c>
      <c r="J114" s="244">
        <f>+I114</f>
        <v/>
      </c>
    </row>
    <row r="115" ht="12.75" customHeight="1" s="148">
      <c r="B115" s="213" t="inlineStr">
        <is>
          <t>Int Expense</t>
        </is>
      </c>
      <c r="E115" s="227" t="n"/>
      <c r="F115" s="227">
        <f>+-F113*F114</f>
        <v/>
      </c>
      <c r="G115" s="227">
        <f>+-G113*G114</f>
        <v/>
      </c>
      <c r="H115" s="227">
        <f>+-H113*H114</f>
        <v/>
      </c>
      <c r="I115" s="227">
        <f>+-I113*I114</f>
        <v/>
      </c>
      <c r="J115" s="227">
        <f>+-J113*J114</f>
        <v/>
      </c>
    </row>
    <row r="116" ht="12.75" customHeight="1" s="148">
      <c r="E116" s="227" t="n"/>
      <c r="F116" s="227" t="n"/>
      <c r="G116" s="227" t="n"/>
      <c r="H116" s="227" t="n"/>
      <c r="I116" s="227" t="n"/>
      <c r="J116" s="227" t="n"/>
    </row>
    <row r="117" ht="12.75" customHeight="1" s="148">
      <c r="B117" s="245" t="inlineStr">
        <is>
          <t>Term Loan</t>
        </is>
      </c>
      <c r="E117" s="227" t="n"/>
      <c r="F117" s="227" t="n"/>
      <c r="G117" s="227" t="n"/>
      <c r="H117" s="227" t="n"/>
      <c r="I117" s="227" t="n"/>
      <c r="J117" s="227" t="n"/>
    </row>
    <row r="118" ht="12.75" customHeight="1" s="148">
      <c r="B118" s="213" t="inlineStr">
        <is>
          <t>Beg</t>
        </is>
      </c>
      <c r="E118" s="227" t="n"/>
      <c r="F118" s="227">
        <f>+E121</f>
        <v/>
      </c>
      <c r="G118" s="227">
        <f>+F121</f>
        <v/>
      </c>
      <c r="H118" s="227">
        <f>+G121</f>
        <v/>
      </c>
      <c r="I118" s="227">
        <f>+H121</f>
        <v/>
      </c>
      <c r="J118" s="227">
        <f>+I121</f>
        <v/>
      </c>
    </row>
    <row r="119" ht="12.75" customHeight="1" s="148">
      <c r="B119" s="213" t="inlineStr">
        <is>
          <t>Mand. Amort</t>
        </is>
      </c>
      <c r="E119" s="227" t="n"/>
      <c r="F119" s="253">
        <f>-IF($E$121+F118*F126&gt;0,$E$121*F126,0)</f>
        <v/>
      </c>
      <c r="G119" s="253">
        <f>-IF($E$121+G118*G126&gt;0,$E$121*G126,0)</f>
        <v/>
      </c>
      <c r="H119" s="253">
        <f>-IF($E$121+H118*H126&gt;0,$E$121*H126,0)</f>
        <v/>
      </c>
      <c r="I119" s="253">
        <f>-IF($E$121+I118*I126&gt;0,$E$121*I126,0)</f>
        <v/>
      </c>
      <c r="J119" s="253">
        <f>-IF($E$121+J118*J126&gt;0,$E$121*J126,0)</f>
        <v/>
      </c>
    </row>
    <row r="120" ht="12.75" customHeight="1" s="148">
      <c r="B120" s="213" t="inlineStr">
        <is>
          <t>Paydown</t>
        </is>
      </c>
      <c r="E120" s="227" t="n"/>
      <c r="F120" s="227">
        <f>+-MIN(SUM(F118:F119),MAX(F101,0))</f>
        <v/>
      </c>
      <c r="G120" s="227">
        <f>+-MIN(SUM(G118:G119),MAX(G101,0))</f>
        <v/>
      </c>
      <c r="H120" s="227">
        <f>+-MIN(SUM(H118:H119),MAX(H101,0))</f>
        <v/>
      </c>
      <c r="I120" s="227">
        <f>+-MIN(SUM(I118:I119),MAX(I101,0))</f>
        <v/>
      </c>
      <c r="J120" s="227">
        <f>+-MIN(SUM(J118:J119),MAX(J101,0))</f>
        <v/>
      </c>
    </row>
    <row r="121" ht="12.75" customHeight="1" s="148">
      <c r="B121" s="233" t="inlineStr">
        <is>
          <t>End</t>
        </is>
      </c>
      <c r="C121" s="233" t="n"/>
      <c r="D121" s="233" t="n"/>
      <c r="E121" s="252">
        <f>+E11</f>
        <v/>
      </c>
      <c r="F121" s="234">
        <f>SUM(F118:F120)</f>
        <v/>
      </c>
      <c r="G121" s="234">
        <f>SUM(G118:G120)</f>
        <v/>
      </c>
      <c r="H121" s="234">
        <f>SUM(H118:H120)</f>
        <v/>
      </c>
      <c r="I121" s="234">
        <f>SUM(I118:I120)</f>
        <v/>
      </c>
      <c r="J121" s="234">
        <f>SUM(J118:J120)</f>
        <v/>
      </c>
    </row>
    <row r="122" ht="12.75" customHeight="1" s="148">
      <c r="E122" s="227" t="n"/>
      <c r="F122" s="227" t="n"/>
      <c r="G122" s="227" t="n"/>
      <c r="H122" s="227" t="n"/>
      <c r="I122" s="227" t="n"/>
      <c r="J122" s="227" t="n"/>
    </row>
    <row r="123" ht="12.75" customHeight="1" s="148">
      <c r="B123" s="213" t="inlineStr">
        <is>
          <t>Avg</t>
        </is>
      </c>
      <c r="E123" s="227" t="n"/>
      <c r="F123" s="227">
        <f>+E121</f>
        <v/>
      </c>
      <c r="G123" s="227">
        <f>+F121</f>
        <v/>
      </c>
      <c r="H123" s="227">
        <f>+G121</f>
        <v/>
      </c>
      <c r="I123" s="227">
        <f>+H121</f>
        <v/>
      </c>
      <c r="J123" s="227">
        <f>+I121</f>
        <v/>
      </c>
    </row>
    <row r="124" ht="12.75" customHeight="1" s="148">
      <c r="B124" s="213" t="inlineStr">
        <is>
          <t>Interest Rate</t>
        </is>
      </c>
      <c r="F124" s="221" t="n">
        <v>0.08500000000000001</v>
      </c>
      <c r="G124" s="244">
        <f>+F124</f>
        <v/>
      </c>
      <c r="H124" s="244">
        <f>+G124</f>
        <v/>
      </c>
      <c r="I124" s="244">
        <f>+H124</f>
        <v/>
      </c>
      <c r="J124" s="244">
        <f>+I124</f>
        <v/>
      </c>
    </row>
    <row r="125" ht="12.75" customHeight="1" s="148">
      <c r="B125" s="213" t="inlineStr">
        <is>
          <t>Int Expense</t>
        </is>
      </c>
      <c r="E125" s="227" t="n"/>
      <c r="F125" s="227">
        <f>+-F123*F124</f>
        <v/>
      </c>
      <c r="G125" s="227">
        <f>+-G123*G124</f>
        <v/>
      </c>
      <c r="H125" s="227">
        <f>+-H123*H124</f>
        <v/>
      </c>
      <c r="I125" s="227">
        <f>+-I123*I124</f>
        <v/>
      </c>
      <c r="J125" s="227">
        <f>+-J123*J124</f>
        <v/>
      </c>
    </row>
    <row r="126" ht="12.75" customHeight="1" s="148">
      <c r="B126" s="213" t="inlineStr">
        <is>
          <t>Mand. Amort</t>
        </is>
      </c>
      <c r="F126" s="221" t="n">
        <v>0.01</v>
      </c>
      <c r="G126" s="244">
        <f>+F126</f>
        <v/>
      </c>
      <c r="H126" s="244">
        <f>+G126</f>
        <v/>
      </c>
      <c r="I126" s="244">
        <f>+H126</f>
        <v/>
      </c>
      <c r="J126" s="244">
        <f>+I126</f>
        <v/>
      </c>
    </row>
    <row r="128" ht="12.75" customHeight="1" s="148">
      <c r="B128" s="245" t="inlineStr">
        <is>
          <t>Mezz Loan</t>
        </is>
      </c>
    </row>
    <row r="129" ht="12.75" customHeight="1" s="148">
      <c r="B129" s="213" t="inlineStr">
        <is>
          <t>Beg</t>
        </is>
      </c>
      <c r="E129" s="227" t="n"/>
      <c r="F129" s="227">
        <f>+E132</f>
        <v/>
      </c>
      <c r="G129" s="227">
        <f>+F132</f>
        <v/>
      </c>
      <c r="H129" s="227">
        <f>+G132</f>
        <v/>
      </c>
      <c r="I129" s="227">
        <f>+H132</f>
        <v/>
      </c>
      <c r="J129" s="227">
        <f>+I132</f>
        <v/>
      </c>
    </row>
    <row r="130" ht="12.75" customHeight="1" s="148">
      <c r="B130" s="213" t="inlineStr">
        <is>
          <t>Accretion</t>
        </is>
      </c>
      <c r="E130" s="227" t="n"/>
      <c r="F130" s="227">
        <f>+-F139</f>
        <v/>
      </c>
      <c r="G130" s="227">
        <f>+-G139</f>
        <v/>
      </c>
      <c r="H130" s="227">
        <f>+-H139</f>
        <v/>
      </c>
      <c r="I130" s="227">
        <f>+-I139</f>
        <v/>
      </c>
      <c r="J130" s="227">
        <f>+-J139</f>
        <v/>
      </c>
    </row>
    <row r="131" ht="12.75" customHeight="1" s="148">
      <c r="B131" s="213" t="inlineStr">
        <is>
          <t>Paydown</t>
        </is>
      </c>
      <c r="E131" s="227" t="n"/>
      <c r="F131" s="227">
        <f>+IF(F103&gt;0,-MIN(SUM(F129:F130),F103),0)</f>
        <v/>
      </c>
      <c r="G131" s="227">
        <f>+IF(G103&gt;0,-MIN(SUM(G129:G130),G103),0)</f>
        <v/>
      </c>
      <c r="H131" s="227">
        <f>+IF(H103&gt;0,-MIN(SUM(H129:H130),H103),0)</f>
        <v/>
      </c>
      <c r="I131" s="227">
        <f>+IF(I103&gt;0,-MIN(SUM(I129:I130),I103),0)</f>
        <v/>
      </c>
      <c r="J131" s="227">
        <f>+IF(J103&gt;0,-MIN(SUM(J129:J130),J103),0)</f>
        <v/>
      </c>
    </row>
    <row r="132" ht="12.75" customHeight="1" s="148">
      <c r="B132" s="233" t="inlineStr">
        <is>
          <t>End</t>
        </is>
      </c>
      <c r="C132" s="233" t="n"/>
      <c r="D132" s="233" t="n"/>
      <c r="E132" s="252">
        <f>+E12</f>
        <v/>
      </c>
      <c r="F132" s="234">
        <f>SUM(F129:F131)</f>
        <v/>
      </c>
      <c r="G132" s="234">
        <f>SUM(G129:G131)</f>
        <v/>
      </c>
      <c r="H132" s="234">
        <f>SUM(H129:H131)</f>
        <v/>
      </c>
      <c r="I132" s="234">
        <f>SUM(I129:I131)</f>
        <v/>
      </c>
      <c r="J132" s="234">
        <f>SUM(J129:J131)</f>
        <v/>
      </c>
    </row>
    <row r="133" ht="12.75" customHeight="1" s="148">
      <c r="E133" s="227" t="n"/>
      <c r="F133" s="227" t="n"/>
      <c r="G133" s="227" t="n"/>
      <c r="H133" s="227" t="n"/>
      <c r="I133" s="227" t="n"/>
      <c r="J133" s="227" t="n"/>
    </row>
    <row r="134" ht="12.75" customHeight="1" s="148">
      <c r="B134" s="213" t="inlineStr">
        <is>
          <t>Avg</t>
        </is>
      </c>
      <c r="E134" s="227" t="n"/>
      <c r="F134" s="227">
        <f>+E132</f>
        <v/>
      </c>
      <c r="G134" s="227">
        <f>+F132</f>
        <v/>
      </c>
      <c r="H134" s="227">
        <f>+G132</f>
        <v/>
      </c>
      <c r="I134" s="227">
        <f>+H132</f>
        <v/>
      </c>
      <c r="J134" s="227">
        <f>+I132</f>
        <v/>
      </c>
    </row>
    <row r="135" ht="12.75" customHeight="1" s="148">
      <c r="B135" s="213" t="inlineStr">
        <is>
          <t>Interest Rate</t>
        </is>
      </c>
      <c r="F135" s="221" t="n">
        <v>0.12</v>
      </c>
      <c r="G135" s="244">
        <f>+F135</f>
        <v/>
      </c>
      <c r="H135" s="244">
        <f>+G135</f>
        <v/>
      </c>
      <c r="I135" s="244">
        <f>+H135</f>
        <v/>
      </c>
      <c r="J135" s="244">
        <f>+I135</f>
        <v/>
      </c>
    </row>
    <row r="136" ht="12.75" customHeight="1" s="148">
      <c r="B136" s="213" t="inlineStr">
        <is>
          <t>Int Expense</t>
        </is>
      </c>
      <c r="E136" s="227" t="n"/>
      <c r="F136" s="227">
        <f>+-F134*F135</f>
        <v/>
      </c>
      <c r="G136" s="227">
        <f>+-G134*G135</f>
        <v/>
      </c>
      <c r="H136" s="227">
        <f>+-H134*H135</f>
        <v/>
      </c>
      <c r="I136" s="227">
        <f>+-I134*I135</f>
        <v/>
      </c>
      <c r="J136" s="227">
        <f>+-J134*J135</f>
        <v/>
      </c>
    </row>
    <row r="138" ht="12.75" customHeight="1" s="148">
      <c r="B138" s="213" t="inlineStr">
        <is>
          <t>PIK Rate</t>
        </is>
      </c>
      <c r="F138" s="221" t="n">
        <v>0</v>
      </c>
      <c r="G138" s="244">
        <f>+F138</f>
        <v/>
      </c>
      <c r="H138" s="244">
        <f>+G138</f>
        <v/>
      </c>
      <c r="I138" s="244">
        <f>+H138</f>
        <v/>
      </c>
      <c r="J138" s="244">
        <f>+I138</f>
        <v/>
      </c>
    </row>
    <row r="139" ht="12.75" customHeight="1" s="148">
      <c r="B139" s="213" t="inlineStr">
        <is>
          <t>PIK Expense</t>
        </is>
      </c>
      <c r="E139" s="227" t="n"/>
      <c r="F139" s="227">
        <f>+E132*-F138</f>
        <v/>
      </c>
      <c r="G139" s="227">
        <f>+F132*-G138</f>
        <v/>
      </c>
      <c r="H139" s="227">
        <f>+G132*-H138</f>
        <v/>
      </c>
      <c r="I139" s="227">
        <f>+H132*-I138</f>
        <v/>
      </c>
      <c r="J139" s="227">
        <f>+I132*-J138</f>
        <v/>
      </c>
    </row>
    <row r="140" ht="12.75" customHeight="1" s="148">
      <c r="E140" s="227" t="n"/>
      <c r="F140" s="227" t="n"/>
      <c r="G140" s="227" t="n"/>
      <c r="H140" s="227" t="n"/>
      <c r="I140" s="227" t="n"/>
      <c r="J140" s="227" t="n"/>
    </row>
    <row r="141" ht="12.75" customHeight="1" s="148">
      <c r="B141" s="245" t="inlineStr">
        <is>
          <t>Cash</t>
        </is>
      </c>
      <c r="E141" s="227" t="n"/>
      <c r="F141" s="227" t="n"/>
      <c r="G141" s="227" t="n"/>
      <c r="H141" s="227" t="n"/>
      <c r="I141" s="227" t="n"/>
      <c r="J141" s="227" t="n"/>
    </row>
    <row r="142" ht="12.75" customHeight="1" s="148">
      <c r="B142" s="213" t="inlineStr">
        <is>
          <t>Beg</t>
        </is>
      </c>
      <c r="E142" s="227" t="n"/>
      <c r="F142" s="227">
        <f>+E144</f>
        <v/>
      </c>
      <c r="G142" s="227">
        <f>+F144</f>
        <v/>
      </c>
      <c r="H142" s="227">
        <f>+G144</f>
        <v/>
      </c>
      <c r="I142" s="227">
        <f>+H144</f>
        <v/>
      </c>
      <c r="J142" s="227">
        <f>+I144</f>
        <v/>
      </c>
    </row>
    <row r="143" ht="12.75" customHeight="1" s="148">
      <c r="B143" s="213" t="inlineStr">
        <is>
          <t>Change</t>
        </is>
      </c>
      <c r="E143" s="227" t="n"/>
      <c r="F143" s="227">
        <f>+F92</f>
        <v/>
      </c>
      <c r="G143" s="227">
        <f>+G92</f>
        <v/>
      </c>
      <c r="H143" s="227">
        <f>+H92</f>
        <v/>
      </c>
      <c r="I143" s="227">
        <f>+I92</f>
        <v/>
      </c>
      <c r="J143" s="227">
        <f>+J92</f>
        <v/>
      </c>
    </row>
    <row r="144" ht="12.75" customHeight="1" s="148">
      <c r="B144" s="233" t="inlineStr">
        <is>
          <t>End</t>
        </is>
      </c>
      <c r="C144" s="233" t="n"/>
      <c r="D144" s="233" t="n"/>
      <c r="E144" s="252" t="n">
        <v>0</v>
      </c>
      <c r="F144" s="234">
        <f>SUM(F142:F143)</f>
        <v/>
      </c>
      <c r="G144" s="234">
        <f>SUM(G142:G143)</f>
        <v/>
      </c>
      <c r="H144" s="234">
        <f>SUM(H142:H143)</f>
        <v/>
      </c>
      <c r="I144" s="234">
        <f>SUM(I142:I143)</f>
        <v/>
      </c>
      <c r="J144" s="234">
        <f>SUM(J142:J143)</f>
        <v/>
      </c>
    </row>
    <row r="145" ht="12.75" customHeight="1" s="148">
      <c r="E145" s="227" t="n"/>
      <c r="F145" s="227" t="n"/>
      <c r="G145" s="227" t="n"/>
      <c r="H145" s="227" t="n"/>
      <c r="I145" s="227" t="n"/>
      <c r="J145" s="227" t="n"/>
    </row>
    <row r="146" ht="12.75" customHeight="1" s="148">
      <c r="B146" s="213" t="inlineStr">
        <is>
          <t>Avg</t>
        </is>
      </c>
      <c r="E146" s="227" t="n"/>
      <c r="F146" s="227">
        <f>+E144</f>
        <v/>
      </c>
      <c r="G146" s="227">
        <f>+F144</f>
        <v/>
      </c>
      <c r="H146" s="227">
        <f>+G144</f>
        <v/>
      </c>
      <c r="I146" s="227">
        <f>+H144</f>
        <v/>
      </c>
      <c r="J146" s="227">
        <f>+I144</f>
        <v/>
      </c>
    </row>
    <row r="147" ht="12.75" customHeight="1" s="148">
      <c r="B147" s="213" t="inlineStr">
        <is>
          <t>Interest Rate</t>
        </is>
      </c>
      <c r="F147" s="221" t="n">
        <v>0.03</v>
      </c>
      <c r="G147" s="244">
        <f>+F147</f>
        <v/>
      </c>
      <c r="H147" s="244">
        <f>+G147</f>
        <v/>
      </c>
      <c r="I147" s="244">
        <f>+H147</f>
        <v/>
      </c>
      <c r="J147" s="244">
        <f>+I147</f>
        <v/>
      </c>
    </row>
    <row r="148" ht="12.75" customHeight="1" s="148">
      <c r="B148" s="213" t="inlineStr">
        <is>
          <t>Int Income</t>
        </is>
      </c>
      <c r="E148" s="227" t="n"/>
      <c r="F148" s="227">
        <f>+F146*F147</f>
        <v/>
      </c>
      <c r="G148" s="227">
        <f>+G146*G147</f>
        <v/>
      </c>
      <c r="H148" s="227">
        <f>+H146*H147</f>
        <v/>
      </c>
      <c r="I148" s="227">
        <f>+I146*I147</f>
        <v/>
      </c>
      <c r="J148" s="227">
        <f>+J146*J147</f>
        <v/>
      </c>
    </row>
    <row r="149" ht="12.75" customHeight="1" s="148">
      <c r="E149" s="227" t="n"/>
      <c r="F149" s="227" t="n"/>
      <c r="G149" s="227" t="n"/>
      <c r="H149" s="227" t="n"/>
      <c r="I149" s="227" t="n"/>
      <c r="J149" s="227" t="n"/>
    </row>
    <row r="150" ht="12.75" customHeight="1" s="148">
      <c r="B150" s="213" t="inlineStr">
        <is>
          <t>Total Interest Expense</t>
        </is>
      </c>
      <c r="E150" s="227" t="n"/>
      <c r="F150" s="227">
        <f>+F115+F125+F136+F139</f>
        <v/>
      </c>
      <c r="G150" s="227">
        <f>+G115+G125+G136+G139</f>
        <v/>
      </c>
      <c r="H150" s="227">
        <f>+H115+H125+H136+H139</f>
        <v/>
      </c>
      <c r="I150" s="227">
        <f>+I115+I125+I136+I139</f>
        <v/>
      </c>
      <c r="J150" s="227">
        <f>+J115+J125+J136+J139</f>
        <v/>
      </c>
    </row>
    <row r="151" ht="12.75" customHeight="1" s="148">
      <c r="F151" s="254" t="n"/>
      <c r="G151" s="254" t="n"/>
      <c r="H151" s="254" t="n"/>
      <c r="I151" s="254" t="n"/>
      <c r="J151" s="254" t="n"/>
    </row>
    <row r="152" ht="12.75" customHeight="1" s="148">
      <c r="A152" s="213" t="inlineStr">
        <is>
          <t>x</t>
        </is>
      </c>
      <c r="B152" s="237" t="inlineStr">
        <is>
          <t>Returns</t>
        </is>
      </c>
      <c r="C152" s="237" t="n"/>
      <c r="D152" s="237" t="n"/>
      <c r="E152" s="237" t="n">
        <v>2013</v>
      </c>
      <c r="F152" s="237">
        <f>E152+1</f>
        <v/>
      </c>
      <c r="G152" s="237">
        <f>F152+1</f>
        <v/>
      </c>
      <c r="H152" s="237">
        <f>G152+1</f>
        <v/>
      </c>
      <c r="I152" s="237">
        <f>H152+1</f>
        <v/>
      </c>
      <c r="J152" s="237">
        <f>I152+1</f>
        <v/>
      </c>
    </row>
    <row r="153" ht="12.75" customHeight="1" s="148">
      <c r="B153" s="213" t="inlineStr">
        <is>
          <t>EBITDA</t>
        </is>
      </c>
      <c r="E153" s="227" t="n"/>
      <c r="F153" s="227">
        <f>+F31</f>
        <v/>
      </c>
      <c r="G153" s="227">
        <f>+G31</f>
        <v/>
      </c>
      <c r="H153" s="227">
        <f>+H31</f>
        <v/>
      </c>
      <c r="I153" s="227">
        <f>+I31</f>
        <v/>
      </c>
      <c r="J153" s="227">
        <f>+J31</f>
        <v/>
      </c>
    </row>
    <row r="154" ht="12.75" customHeight="1" s="148">
      <c r="B154" s="213" t="inlineStr">
        <is>
          <t>Exit Multiple</t>
        </is>
      </c>
      <c r="F154" s="255">
        <f>+$E$4</f>
        <v/>
      </c>
      <c r="G154" s="255">
        <f>+$E$4</f>
        <v/>
      </c>
      <c r="H154" s="255">
        <f>+$E$4</f>
        <v/>
      </c>
      <c r="I154" s="255">
        <f>+$E$4</f>
        <v/>
      </c>
      <c r="J154" s="255">
        <f>+$E$4</f>
        <v/>
      </c>
    </row>
    <row r="155" ht="12.75" customHeight="1" s="148">
      <c r="B155" s="233" t="inlineStr">
        <is>
          <t>TEV</t>
        </is>
      </c>
      <c r="C155" s="233" t="n"/>
      <c r="D155" s="233" t="n"/>
      <c r="E155" s="234" t="n"/>
      <c r="F155" s="234">
        <f>+F153*F154</f>
        <v/>
      </c>
      <c r="G155" s="234">
        <f>+G153*G154</f>
        <v/>
      </c>
      <c r="H155" s="234">
        <f>+H153*H154</f>
        <v/>
      </c>
      <c r="I155" s="234">
        <f>+I153*I154</f>
        <v/>
      </c>
      <c r="J155" s="234">
        <f>+J153*J154</f>
        <v/>
      </c>
    </row>
    <row r="156" ht="12.75" customHeight="1" s="148">
      <c r="B156" s="213" t="inlineStr">
        <is>
          <t>(-) Net Debt</t>
        </is>
      </c>
      <c r="E156" s="227" t="n"/>
      <c r="F156" s="227">
        <f>+-F67+F62</f>
        <v/>
      </c>
      <c r="G156" s="227">
        <f>+-G67+G62</f>
        <v/>
      </c>
      <c r="H156" s="227">
        <f>+-H67+H62</f>
        <v/>
      </c>
      <c r="I156" s="227">
        <f>+-I67+I62</f>
        <v/>
      </c>
      <c r="J156" s="227">
        <f>+-J67+J62</f>
        <v/>
      </c>
    </row>
    <row r="157" ht="12.75" customHeight="1" s="148">
      <c r="B157" s="233" t="inlineStr">
        <is>
          <t>Total Equity Value</t>
        </is>
      </c>
      <c r="C157" s="233" t="n"/>
      <c r="D157" s="233" t="n"/>
      <c r="E157" s="234" t="n"/>
      <c r="F157" s="234">
        <f>+SUM(F155:F156)</f>
        <v/>
      </c>
      <c r="G157" s="234">
        <f>+SUM(G155:G156)</f>
        <v/>
      </c>
      <c r="H157" s="234">
        <f>+SUM(H155:H156)</f>
        <v/>
      </c>
      <c r="I157" s="234">
        <f>+SUM(I155:I156)</f>
        <v/>
      </c>
      <c r="J157" s="234">
        <f>+SUM(J155:J156)</f>
        <v/>
      </c>
    </row>
    <row r="158" ht="12.75" customHeight="1" s="148">
      <c r="B158" s="213" t="inlineStr">
        <is>
          <t>(-) Roll</t>
        </is>
      </c>
      <c r="E158" s="227" t="n"/>
      <c r="F158" s="227">
        <f>+-F157*$K$158</f>
        <v/>
      </c>
      <c r="G158" s="227">
        <f>+-G157*$K$158</f>
        <v/>
      </c>
      <c r="H158" s="227">
        <f>+-H157*$K$158</f>
        <v/>
      </c>
      <c r="I158" s="227">
        <f>+-I157*$K$158</f>
        <v/>
      </c>
      <c r="J158" s="227">
        <f>+-J157*$K$158</f>
        <v/>
      </c>
      <c r="K158" s="256">
        <f>E13/SUM(E13:E14)</f>
        <v/>
      </c>
    </row>
    <row r="159" ht="12.75" customHeight="1" s="148">
      <c r="B159" s="233" t="inlineStr">
        <is>
          <t>Sponsor Equity Value</t>
        </is>
      </c>
      <c r="C159" s="233" t="n"/>
      <c r="D159" s="233" t="n"/>
      <c r="E159" s="234" t="n"/>
      <c r="F159" s="234">
        <f>SUM(F157:F158)</f>
        <v/>
      </c>
      <c r="G159" s="234">
        <f>SUM(G157:G158)</f>
        <v/>
      </c>
      <c r="H159" s="234">
        <f>SUM(H157:H158)</f>
        <v/>
      </c>
      <c r="I159" s="234">
        <f>SUM(I157:I158)</f>
        <v/>
      </c>
      <c r="J159" s="234">
        <f>SUM(J157:J158)</f>
        <v/>
      </c>
    </row>
    <row r="160" ht="12.75" customHeight="1" s="148">
      <c r="E160" s="227" t="n"/>
      <c r="F160" s="227" t="n"/>
      <c r="G160" s="227" t="n"/>
      <c r="H160" s="227" t="n"/>
      <c r="I160" s="227" t="n"/>
      <c r="J160" s="227" t="n"/>
    </row>
    <row r="161" ht="12.75" customHeight="1" s="148">
      <c r="B161" s="257" t="n">
        <v>39297</v>
      </c>
      <c r="E161" s="227" t="n"/>
      <c r="F161" s="227">
        <f>+-$E$14</f>
        <v/>
      </c>
      <c r="G161" s="227">
        <f>+-$E$14</f>
        <v/>
      </c>
      <c r="H161" s="227">
        <f>+-$E$14</f>
        <v/>
      </c>
      <c r="I161" s="227">
        <f>+-$E$14</f>
        <v/>
      </c>
      <c r="J161" s="227">
        <f>+-$E$14</f>
        <v/>
      </c>
    </row>
    <row r="162" ht="12.75" customHeight="1" s="148">
      <c r="B162" s="258">
        <f>DATE(YEAR(B161)+1,MONTH(B161),DAY(B161))</f>
        <v/>
      </c>
      <c r="E162" s="227" t="n"/>
      <c r="F162" s="227">
        <f>+F159</f>
        <v/>
      </c>
      <c r="G162" s="227" t="n"/>
      <c r="H162" s="227" t="n"/>
      <c r="I162" s="227" t="n"/>
      <c r="J162" s="227" t="n"/>
    </row>
    <row r="163" ht="12.75" customHeight="1" s="148">
      <c r="B163" s="258">
        <f>DATE(YEAR(B162)+1,MONTH(B162),DAY(B162))</f>
        <v/>
      </c>
      <c r="E163" s="227" t="n"/>
      <c r="F163" s="227" t="n"/>
      <c r="G163" s="227">
        <f>+G159</f>
        <v/>
      </c>
      <c r="H163" s="227" t="n"/>
      <c r="I163" s="227" t="n"/>
      <c r="J163" s="227" t="n"/>
    </row>
    <row r="164" ht="12.75" customHeight="1" s="148">
      <c r="B164" s="258">
        <f>DATE(YEAR(B163)+1,MONTH(B163),DAY(B163))</f>
        <v/>
      </c>
      <c r="E164" s="227" t="n"/>
      <c r="F164" s="227" t="n"/>
      <c r="G164" s="227" t="n"/>
      <c r="H164" s="227">
        <f>+H159</f>
        <v/>
      </c>
      <c r="I164" s="227" t="n"/>
      <c r="J164" s="227" t="n"/>
    </row>
    <row r="165" ht="12.75" customHeight="1" s="148">
      <c r="B165" s="258">
        <f>DATE(YEAR(B164)+1,MONTH(B164),DAY(B164))</f>
        <v/>
      </c>
      <c r="E165" s="227" t="n"/>
      <c r="F165" s="227" t="n"/>
      <c r="G165" s="227" t="n"/>
      <c r="H165" s="227" t="n"/>
      <c r="I165" s="227">
        <f>+I159</f>
        <v/>
      </c>
      <c r="J165" s="227" t="n"/>
    </row>
    <row r="166" ht="12.75" customHeight="1" s="148">
      <c r="B166" s="258">
        <f>DATE(YEAR(B165)+1,MONTH(B165),DAY(B165))</f>
        <v/>
      </c>
      <c r="E166" s="227" t="n"/>
      <c r="F166" s="227" t="n"/>
      <c r="G166" s="227" t="n"/>
      <c r="H166" s="227" t="n"/>
      <c r="I166" s="227" t="n"/>
      <c r="J166" s="227">
        <f>+J159</f>
        <v/>
      </c>
    </row>
    <row r="167" ht="12.75" customHeight="1" s="148">
      <c r="B167" s="233" t="inlineStr">
        <is>
          <t>IRR</t>
        </is>
      </c>
      <c r="C167" s="233" t="n"/>
      <c r="D167" s="233" t="n"/>
      <c r="E167" s="233" t="n"/>
      <c r="F167" s="259">
        <f>IFERROR(XIRR(F161:F166,$B$161:$B$166),"n/m")</f>
        <v/>
      </c>
      <c r="G167" s="259">
        <f>IFERROR(XIRR(G161:G166,$B$161:$B$166),"n/m")</f>
        <v/>
      </c>
      <c r="H167" s="259">
        <f>IFERROR(XIRR(H161:H166,$B$161:$B$166),"n/m")</f>
        <v/>
      </c>
      <c r="I167" s="259">
        <f>IFERROR(XIRR(I161:I166,$B$161:$B$166),"n/m")</f>
        <v/>
      </c>
      <c r="J167" s="259">
        <f>IFERROR(XIRR(J161:J166,$B$161:$B$166),"n/m")</f>
        <v/>
      </c>
    </row>
    <row r="168" ht="12.75" customHeight="1" s="148">
      <c r="B168" s="213" t="inlineStr">
        <is>
          <t>Money Multiple</t>
        </is>
      </c>
      <c r="F168" s="255">
        <f>+F162/F161*-1</f>
        <v/>
      </c>
      <c r="G168" s="255">
        <f>+G163/G161*-1</f>
        <v/>
      </c>
      <c r="H168" s="255">
        <f>+H164/H161*-1</f>
        <v/>
      </c>
      <c r="I168" s="255">
        <f>+I165/I161*-1</f>
        <v/>
      </c>
      <c r="J168" s="255">
        <f>+J166/J161*-1</f>
        <v/>
      </c>
    </row>
    <row r="169" ht="12.75" customHeight="1" s="148">
      <c r="F169" s="254" t="n"/>
      <c r="G169" s="254" t="n"/>
      <c r="H169" s="254" t="n"/>
      <c r="I169" s="254" t="n"/>
      <c r="J169" s="254" t="n"/>
    </row>
    <row r="170" ht="12.75" customHeight="1" s="148">
      <c r="A170" s="213" t="inlineStr">
        <is>
          <t>q</t>
        </is>
      </c>
      <c r="B170" s="237" t="inlineStr">
        <is>
          <t>Sensitivity</t>
        </is>
      </c>
      <c r="C170" s="237" t="n"/>
      <c r="D170" s="237" t="n"/>
      <c r="E170" s="237" t="n"/>
      <c r="F170" s="237" t="n"/>
      <c r="G170" s="237" t="n"/>
      <c r="H170" s="237" t="n"/>
      <c r="I170" s="237" t="n"/>
      <c r="J170" s="237" t="n"/>
    </row>
    <row r="171" ht="12.75" customHeight="1" s="148">
      <c r="F171" s="254" t="n"/>
      <c r="G171" s="254" t="n"/>
      <c r="H171" s="254" t="n"/>
      <c r="I171" s="254" t="n"/>
      <c r="J171" s="254" t="n"/>
    </row>
    <row r="172" ht="12.75" customHeight="1" s="148">
      <c r="C172" s="213" t="inlineStr">
        <is>
          <t>IRR: entry multiple (down) vs exit multiple (across). Closed form on year-5 EBITDA, holding year-5 net debt and rollover constant.</t>
        </is>
      </c>
      <c r="D172" s="260" t="inlineStr">
        <is>
          <t>Exit Multiple</t>
        </is>
      </c>
      <c r="J172" s="254" t="n"/>
    </row>
    <row r="173" ht="12.75" customHeight="1" s="148">
      <c r="C173" s="261">
        <f>+J167</f>
        <v/>
      </c>
      <c r="D173" s="262" t="n">
        <v>4</v>
      </c>
      <c r="E173" s="262">
        <f>D173+1</f>
        <v/>
      </c>
      <c r="F173" s="262">
        <f>E173+1</f>
        <v/>
      </c>
      <c r="G173" s="262">
        <f>F173+1</f>
        <v/>
      </c>
      <c r="H173" s="262">
        <f>G173+1</f>
        <v/>
      </c>
      <c r="J173" s="254" t="n"/>
    </row>
    <row r="174" ht="12.75" customHeight="1" s="148">
      <c r="C174" s="248" t="n">
        <v>10</v>
      </c>
      <c r="D174" s="263">
        <f>IFERROR(((($J$153*D$173+$J$156)*(1-$K$158))/($E$14+(($C174-$E$3)*$E$5)))^(1/5)-1,"n/m")</f>
        <v/>
      </c>
      <c r="E174" s="259">
        <f>IFERROR(((($J$153*E$173+$J$156)*(1-$K$158))/($E$14+(($C174-$E$3)*$E$5)))^(1/5)-1,"n/m")</f>
        <v/>
      </c>
      <c r="F174" s="259">
        <f>IFERROR(((($J$153*F$173+$J$156)*(1-$K$158))/($E$14+(($C174-$E$3)*$E$5)))^(1/5)-1,"n/m")</f>
        <v/>
      </c>
      <c r="G174" s="259">
        <f>IFERROR(((($J$153*G$173+$J$156)*(1-$K$158))/($E$14+(($C174-$E$3)*$E$5)))^(1/5)-1,"n/m")</f>
        <v/>
      </c>
      <c r="H174" s="264">
        <f>IFERROR(((($J$153*H$173+$J$156)*(1-$K$158))/($E$14+(($C174-$E$3)*$E$5)))^(1/5)-1,"n/m")</f>
        <v/>
      </c>
    </row>
    <row r="175" ht="12.75" customHeight="1" s="148">
      <c r="B175" s="213" t="inlineStr">
        <is>
          <t>Entry</t>
        </is>
      </c>
      <c r="C175" s="248" t="n">
        <v>11</v>
      </c>
      <c r="D175" s="265">
        <f>IFERROR(((($J$153*D$173+$J$156)*(1-$K$158))/($E$14+(($C175-$E$3)*$E$5)))^(1/5)-1,"n/m")</f>
        <v/>
      </c>
      <c r="E175" s="266">
        <f>IFERROR(((($J$153*E$173+$J$156)*(1-$K$158))/($E$14+(($C175-$E$3)*$E$5)))^(1/5)-1,"n/m")</f>
        <v/>
      </c>
      <c r="F175" s="266">
        <f>IFERROR(((($J$153*F$173+$J$156)*(1-$K$158))/($E$14+(($C175-$E$3)*$E$5)))^(1/5)-1,"n/m")</f>
        <v/>
      </c>
      <c r="G175" s="266">
        <f>IFERROR(((($J$153*G$173+$J$156)*(1-$K$158))/($E$14+(($C175-$E$3)*$E$5)))^(1/5)-1,"n/m")</f>
        <v/>
      </c>
      <c r="H175" s="267">
        <f>IFERROR(((($J$153*H$173+$J$156)*(1-$K$158))/($E$14+(($C175-$E$3)*$E$5)))^(1/5)-1,"n/m")</f>
        <v/>
      </c>
    </row>
    <row r="176" ht="12.75" customHeight="1" s="148">
      <c r="B176" s="213" t="inlineStr">
        <is>
          <t>Multiple</t>
        </is>
      </c>
      <c r="C176" s="248" t="n">
        <v>12</v>
      </c>
      <c r="D176" s="265">
        <f>IFERROR(((($J$153*D$173+$J$156)*(1-$K$158))/($E$14+(($C176-$E$3)*$E$5)))^(1/5)-1,"n/m")</f>
        <v/>
      </c>
      <c r="E176" s="266">
        <f>IFERROR(((($J$153*E$173+$J$156)*(1-$K$158))/($E$14+(($C176-$E$3)*$E$5)))^(1/5)-1,"n/m")</f>
        <v/>
      </c>
      <c r="F176" s="256">
        <f>IFERROR(((($J$153*F$173+$J$156)*(1-$K$158))/($E$14+(($C176-$E$3)*$E$5)))^(1/5)-1,"n/m")</f>
        <v/>
      </c>
      <c r="G176" s="266">
        <f>IFERROR(((($J$153*G$173+$J$156)*(1-$K$158))/($E$14+(($C176-$E$3)*$E$5)))^(1/5)-1,"n/m")</f>
        <v/>
      </c>
      <c r="H176" s="267">
        <f>IFERROR(((($J$153*H$173+$J$156)*(1-$K$158))/($E$14+(($C176-$E$3)*$E$5)))^(1/5)-1,"n/m")</f>
        <v/>
      </c>
    </row>
    <row r="177" ht="12.75" customHeight="1" s="148">
      <c r="C177" s="248" t="n">
        <v>13</v>
      </c>
      <c r="D177" s="265">
        <f>IFERROR(((($J$153*D$173+$J$156)*(1-$K$158))/($E$14+(($C177-$E$3)*$E$5)))^(1/5)-1,"n/m")</f>
        <v/>
      </c>
      <c r="E177" s="266">
        <f>IFERROR(((($J$153*E$173+$J$156)*(1-$K$158))/($E$14+(($C177-$E$3)*$E$5)))^(1/5)-1,"n/m")</f>
        <v/>
      </c>
      <c r="F177" s="266">
        <f>IFERROR(((($J$153*F$173+$J$156)*(1-$K$158))/($E$14+(($C177-$E$3)*$E$5)))^(1/5)-1,"n/m")</f>
        <v/>
      </c>
      <c r="G177" s="266">
        <f>IFERROR(((($J$153*G$173+$J$156)*(1-$K$158))/($E$14+(($C177-$E$3)*$E$5)))^(1/5)-1,"n/m")</f>
        <v/>
      </c>
      <c r="H177" s="267">
        <f>IFERROR(((($J$153*H$173+$J$156)*(1-$K$158))/($E$14+(($C177-$E$3)*$E$5)))^(1/5)-1,"n/m")</f>
        <v/>
      </c>
    </row>
    <row r="178" ht="12.75" customHeight="1" s="148">
      <c r="C178" s="248" t="n">
        <v>14</v>
      </c>
      <c r="D178" s="268">
        <f>IFERROR(((($J$153*D$173+$J$156)*(1-$K$158))/($E$14+(($C178-$E$3)*$E$5)))^(1/5)-1,"n/m")</f>
        <v/>
      </c>
      <c r="E178" s="269">
        <f>IFERROR(((($J$153*E$173+$J$156)*(1-$K$158))/($E$14+(($C178-$E$3)*$E$5)))^(1/5)-1,"n/m")</f>
        <v/>
      </c>
      <c r="F178" s="269">
        <f>IFERROR(((($J$153*F$173+$J$156)*(1-$K$158))/($E$14+(($C178-$E$3)*$E$5)))^(1/5)-1,"n/m")</f>
        <v/>
      </c>
      <c r="G178" s="269">
        <f>IFERROR(((($J$153*G$173+$J$156)*(1-$K$158))/($E$14+(($C178-$E$3)*$E$5)))^(1/5)-1,"n/m")</f>
        <v/>
      </c>
      <c r="H178" s="270">
        <f>IFERROR(((($J$153*H$173+$J$156)*(1-$K$158))/($E$14+(($C178-$E$3)*$E$5)))^(1/5)-1,"n/m")</f>
        <v/>
      </c>
    </row>
    <row r="180" ht="12.75" customHeight="1" s="148">
      <c r="C180" s="213" t="inlineStr">
        <is>
          <t>MoM: same axes and method.</t>
        </is>
      </c>
      <c r="D180" s="260" t="inlineStr">
        <is>
          <t>Exit Multiple</t>
        </is>
      </c>
    </row>
    <row r="181" ht="12.75" customHeight="1" s="148">
      <c r="C181" s="261">
        <f>+J168</f>
        <v/>
      </c>
      <c r="D181" s="271" t="n">
        <v>4</v>
      </c>
      <c r="E181" s="271">
        <f>D181+1</f>
        <v/>
      </c>
      <c r="F181" s="271">
        <f>E181+1</f>
        <v/>
      </c>
      <c r="G181" s="271">
        <f>F181+1</f>
        <v/>
      </c>
      <c r="H181" s="271">
        <f>G181+1</f>
        <v/>
      </c>
    </row>
    <row r="182" ht="12.75" customHeight="1" s="148">
      <c r="C182" s="248" t="n">
        <v>10</v>
      </c>
      <c r="D182" s="272">
        <f>IFERROR((($J$153*D$181+$J$156)*(1-$K$158))/($E$14+(($C182-$E$3)*$E$5)),"n/m")</f>
        <v/>
      </c>
      <c r="E182" s="273">
        <f>IFERROR((($J$153*E$181+$J$156)*(1-$K$158))/($E$14+(($C182-$E$3)*$E$5)),"n/m")</f>
        <v/>
      </c>
      <c r="F182" s="273">
        <f>IFERROR((($J$153*F$181+$J$156)*(1-$K$158))/($E$14+(($C182-$E$3)*$E$5)),"n/m")</f>
        <v/>
      </c>
      <c r="G182" s="273">
        <f>IFERROR((($J$153*G$181+$J$156)*(1-$K$158))/($E$14+(($C182-$E$3)*$E$5)),"n/m")</f>
        <v/>
      </c>
      <c r="H182" s="274">
        <f>IFERROR((($J$153*H$181+$J$156)*(1-$K$158))/($E$14+(($C182-$E$3)*$E$5)),"n/m")</f>
        <v/>
      </c>
    </row>
    <row r="183" ht="12.75" customHeight="1" s="148">
      <c r="B183" s="213" t="inlineStr">
        <is>
          <t>Entry</t>
        </is>
      </c>
      <c r="C183" s="248" t="n">
        <v>11</v>
      </c>
      <c r="D183" s="275">
        <f>IFERROR((($J$153*D$181+$J$156)*(1-$K$158))/($E$14+(($C183-$E$3)*$E$5)),"n/m")</f>
        <v/>
      </c>
      <c r="E183" s="276">
        <f>IFERROR((($J$153*E$181+$J$156)*(1-$K$158))/($E$14+(($C183-$E$3)*$E$5)),"n/m")</f>
        <v/>
      </c>
      <c r="F183" s="276">
        <f>IFERROR((($J$153*F$181+$J$156)*(1-$K$158))/($E$14+(($C183-$E$3)*$E$5)),"n/m")</f>
        <v/>
      </c>
      <c r="G183" s="276">
        <f>IFERROR((($J$153*G$181+$J$156)*(1-$K$158))/($E$14+(($C183-$E$3)*$E$5)),"n/m")</f>
        <v/>
      </c>
      <c r="H183" s="277">
        <f>IFERROR((($J$153*H$181+$J$156)*(1-$K$158))/($E$14+(($C183-$E$3)*$E$5)),"n/m")</f>
        <v/>
      </c>
    </row>
    <row r="184" ht="12.75" customHeight="1" s="148">
      <c r="B184" s="213" t="inlineStr">
        <is>
          <t>Multiple</t>
        </is>
      </c>
      <c r="C184" s="248" t="n">
        <v>12</v>
      </c>
      <c r="D184" s="275">
        <f>IFERROR((($J$153*D$181+$J$156)*(1-$K$158))/($E$14+(($C184-$E$3)*$E$5)),"n/m")</f>
        <v/>
      </c>
      <c r="E184" s="276">
        <f>IFERROR((($J$153*E$181+$J$156)*(1-$K$158))/($E$14+(($C184-$E$3)*$E$5)),"n/m")</f>
        <v/>
      </c>
      <c r="F184" s="278">
        <f>IFERROR((($J$153*F$181+$J$156)*(1-$K$158))/($E$14+(($C184-$E$3)*$E$5)),"n/m")</f>
        <v/>
      </c>
      <c r="G184" s="276">
        <f>IFERROR((($J$153*G$181+$J$156)*(1-$K$158))/($E$14+(($C184-$E$3)*$E$5)),"n/m")</f>
        <v/>
      </c>
      <c r="H184" s="277">
        <f>IFERROR((($J$153*H$181+$J$156)*(1-$K$158))/($E$14+(($C184-$E$3)*$E$5)),"n/m")</f>
        <v/>
      </c>
    </row>
    <row r="185" ht="12.75" customHeight="1" s="148">
      <c r="C185" s="248" t="n">
        <v>13</v>
      </c>
      <c r="D185" s="275">
        <f>IFERROR((($J$153*D$181+$J$156)*(1-$K$158))/($E$14+(($C185-$E$3)*$E$5)),"n/m")</f>
        <v/>
      </c>
      <c r="E185" s="276">
        <f>IFERROR((($J$153*E$181+$J$156)*(1-$K$158))/($E$14+(($C185-$E$3)*$E$5)),"n/m")</f>
        <v/>
      </c>
      <c r="F185" s="276">
        <f>IFERROR((($J$153*F$181+$J$156)*(1-$K$158))/($E$14+(($C185-$E$3)*$E$5)),"n/m")</f>
        <v/>
      </c>
      <c r="G185" s="276">
        <f>IFERROR((($J$153*G$181+$J$156)*(1-$K$158))/($E$14+(($C185-$E$3)*$E$5)),"n/m")</f>
        <v/>
      </c>
      <c r="H185" s="277">
        <f>IFERROR((($J$153*H$181+$J$156)*(1-$K$158))/($E$14+(($C185-$E$3)*$E$5)),"n/m")</f>
        <v/>
      </c>
    </row>
    <row r="186" ht="12.75" customHeight="1" s="148">
      <c r="C186" s="248" t="n">
        <v>14</v>
      </c>
      <c r="D186" s="279">
        <f>IFERROR((($J$153*D$181+$J$156)*(1-$K$158))/($E$14+(($C186-$E$3)*$E$5)),"n/m")</f>
        <v/>
      </c>
      <c r="E186" s="280">
        <f>IFERROR((($J$153*E$181+$J$156)*(1-$K$158))/($E$14+(($C186-$E$3)*$E$5)),"n/m")</f>
        <v/>
      </c>
      <c r="F186" s="280">
        <f>IFERROR((($J$153*F$181+$J$156)*(1-$K$158))/($E$14+(($C186-$E$3)*$E$5)),"n/m")</f>
        <v/>
      </c>
      <c r="G186" s="280">
        <f>IFERROR((($J$153*G$181+$J$156)*(1-$K$158))/($E$14+(($C186-$E$3)*$E$5)),"n/m")</f>
        <v/>
      </c>
      <c r="H186" s="281">
        <f>IFERROR((($J$153*H$181+$J$156)*(1-$K$158))/($E$14+(($C186-$E$3)*$E$5)),"n/m")</f>
        <v/>
      </c>
    </row>
    <row r="188" ht="12.75" customHeight="1" s="148">
      <c r="A188" s="213" t="inlineStr">
        <is>
          <t>x</t>
        </is>
      </c>
      <c r="B188" s="237" t="inlineStr">
        <is>
          <t>Returns Creation</t>
        </is>
      </c>
      <c r="C188" s="237" t="n"/>
      <c r="D188" s="237" t="n"/>
      <c r="E188" s="237" t="n"/>
      <c r="F188" s="237" t="n"/>
      <c r="G188" s="237" t="n"/>
      <c r="H188" s="237" t="n"/>
      <c r="I188" s="237" t="n"/>
      <c r="J188" s="237" t="n"/>
    </row>
    <row r="189" ht="12.75" customHeight="1" s="148">
      <c r="E189" s="282" t="n">
        <v>2006</v>
      </c>
      <c r="F189" s="282" t="n">
        <v>2011</v>
      </c>
      <c r="G189" s="282" t="inlineStr">
        <is>
          <t>Change</t>
        </is>
      </c>
      <c r="H189" s="282" t="inlineStr">
        <is>
          <t>Multiple</t>
        </is>
      </c>
      <c r="I189" s="282" t="inlineStr">
        <is>
          <t>$</t>
        </is>
      </c>
      <c r="J189" s="282" t="inlineStr">
        <is>
          <t>%</t>
        </is>
      </c>
    </row>
    <row r="190" ht="12.75" customHeight="1" s="148">
      <c r="B190" s="213" t="inlineStr">
        <is>
          <t>Beg Equity Value</t>
        </is>
      </c>
      <c r="E190" s="227" t="n"/>
      <c r="F190" s="227" t="n"/>
      <c r="G190" s="227" t="n"/>
      <c r="H190" s="227" t="n"/>
      <c r="I190" s="227">
        <f>+E14</f>
        <v/>
      </c>
    </row>
    <row r="191" ht="12.75" customHeight="1" s="148">
      <c r="E191" s="227" t="n"/>
      <c r="F191" s="227" t="n"/>
      <c r="G191" s="227" t="n"/>
      <c r="H191" s="227" t="n"/>
      <c r="I191" s="227" t="n"/>
    </row>
    <row r="192" ht="12.75" customHeight="1" s="148">
      <c r="B192" s="245" t="inlineStr">
        <is>
          <t>Creation</t>
        </is>
      </c>
      <c r="E192" s="227" t="n"/>
      <c r="F192" s="227" t="n"/>
      <c r="G192" s="227" t="n"/>
      <c r="H192" s="227" t="n"/>
      <c r="I192" s="227" t="n"/>
    </row>
    <row r="193" ht="12.75" customHeight="1" s="148">
      <c r="B193" s="213" t="inlineStr">
        <is>
          <t>Cash Build</t>
        </is>
      </c>
      <c r="E193" s="227">
        <f>+E62</f>
        <v/>
      </c>
      <c r="F193" s="227">
        <f>J62</f>
        <v/>
      </c>
      <c r="G193" s="227">
        <f>+F193-E193</f>
        <v/>
      </c>
      <c r="H193" s="228" t="n">
        <v>1</v>
      </c>
      <c r="I193" s="227">
        <f>+G193*H193</f>
        <v/>
      </c>
      <c r="J193" s="266">
        <f>+I193/$I$202</f>
        <v/>
      </c>
    </row>
    <row r="194" ht="12.75" customHeight="1" s="148">
      <c r="B194" s="213" t="inlineStr">
        <is>
          <t>Debt Paydown</t>
        </is>
      </c>
      <c r="E194" s="227">
        <f>+E67</f>
        <v/>
      </c>
      <c r="F194" s="227">
        <f>+J67</f>
        <v/>
      </c>
      <c r="G194" s="227">
        <f>+E194-F194</f>
        <v/>
      </c>
      <c r="H194" s="228" t="n">
        <v>1</v>
      </c>
      <c r="I194" s="227">
        <f>+G194*H194</f>
        <v/>
      </c>
      <c r="J194" s="266">
        <f>+I194/$I$202</f>
        <v/>
      </c>
    </row>
    <row r="195" ht="12.75" customHeight="1" s="148">
      <c r="B195" s="213" t="inlineStr">
        <is>
          <t>EBITDA Growth</t>
        </is>
      </c>
      <c r="E195" s="227">
        <f>+E31</f>
        <v/>
      </c>
      <c r="F195" s="227">
        <f>J31</f>
        <v/>
      </c>
      <c r="G195" s="227">
        <f>+F195-E195</f>
        <v/>
      </c>
      <c r="H195" s="228">
        <f>E4</f>
        <v/>
      </c>
      <c r="I195" s="227">
        <f>+G195*H195</f>
        <v/>
      </c>
      <c r="J195" s="266">
        <f>+I195/$I$202</f>
        <v/>
      </c>
    </row>
    <row r="196" ht="12.75" customHeight="1" s="148">
      <c r="B196" s="213" t="inlineStr">
        <is>
          <t>Multiple Expansion</t>
        </is>
      </c>
      <c r="E196" s="227">
        <f>+E3</f>
        <v/>
      </c>
      <c r="F196" s="227">
        <f>+E4</f>
        <v/>
      </c>
      <c r="G196" s="227">
        <f>+F196-E196</f>
        <v/>
      </c>
      <c r="H196" s="227">
        <f>+F195</f>
        <v/>
      </c>
      <c r="I196" s="227">
        <f>+G196*H196</f>
        <v/>
      </c>
      <c r="J196" s="266">
        <f>+I196/$I$202</f>
        <v/>
      </c>
    </row>
    <row r="197" ht="12.75" customHeight="1" s="148">
      <c r="B197" s="233" t="inlineStr">
        <is>
          <t>Created Value</t>
        </is>
      </c>
      <c r="C197" s="233" t="n"/>
      <c r="D197" s="233" t="n"/>
      <c r="E197" s="234" t="n"/>
      <c r="F197" s="234" t="n"/>
      <c r="G197" s="234" t="n"/>
      <c r="H197" s="234" t="n"/>
      <c r="I197" s="234">
        <f>SUM(I193:I196)</f>
        <v/>
      </c>
      <c r="J197" s="259">
        <f>SUM(J193:J196)</f>
        <v/>
      </c>
    </row>
    <row r="198" ht="12.75" customHeight="1" s="148">
      <c r="B198" s="213" t="inlineStr">
        <is>
          <t>(-) M&amp;A Fee</t>
        </is>
      </c>
      <c r="E198" s="227" t="n"/>
      <c r="F198" s="227" t="n"/>
      <c r="G198" s="227" t="n"/>
      <c r="H198" s="227" t="n"/>
      <c r="I198" s="227">
        <f>+-J12</f>
        <v/>
      </c>
      <c r="J198" s="266">
        <f>+I198/$I$202</f>
        <v/>
      </c>
    </row>
    <row r="199" ht="12.75" customHeight="1" s="148">
      <c r="B199" s="213" t="inlineStr">
        <is>
          <t>(-) Fin. Fee</t>
        </is>
      </c>
      <c r="E199" s="227" t="n"/>
      <c r="F199" s="227" t="n"/>
      <c r="G199" s="227" t="n"/>
      <c r="H199" s="227" t="n"/>
      <c r="I199" s="227">
        <f>+-J13</f>
        <v/>
      </c>
      <c r="J199" s="266">
        <f>+I199/$I$202</f>
        <v/>
      </c>
    </row>
    <row r="200" ht="12.75" customHeight="1" s="148">
      <c r="B200" s="233" t="inlineStr">
        <is>
          <t>Net Created Value (All)</t>
        </is>
      </c>
      <c r="C200" s="233" t="n"/>
      <c r="D200" s="233" t="n"/>
      <c r="E200" s="234" t="n"/>
      <c r="F200" s="234" t="n"/>
      <c r="G200" s="234" t="n"/>
      <c r="H200" s="234" t="n"/>
      <c r="I200" s="234">
        <f>SUM(I197:I199)</f>
        <v/>
      </c>
      <c r="J200" s="259">
        <f>SUM(J197:J199)</f>
        <v/>
      </c>
    </row>
    <row r="201" ht="12.75" customHeight="1" s="148">
      <c r="B201" s="213" t="inlineStr">
        <is>
          <t>Management Roll</t>
        </is>
      </c>
      <c r="E201" s="227" t="n"/>
      <c r="F201" s="227" t="n"/>
      <c r="G201" s="227" t="n"/>
      <c r="H201" s="227" t="n"/>
      <c r="I201" s="227">
        <f>+-I200*K158</f>
        <v/>
      </c>
      <c r="J201" s="266">
        <f>+I201/$I$202</f>
        <v/>
      </c>
    </row>
    <row r="202" ht="12.75" customHeight="1" s="148">
      <c r="B202" s="233" t="inlineStr">
        <is>
          <t>Sponsor Creation</t>
        </is>
      </c>
      <c r="C202" s="233" t="n"/>
      <c r="D202" s="233" t="n"/>
      <c r="E202" s="234" t="n"/>
      <c r="F202" s="234" t="n"/>
      <c r="G202" s="234" t="n"/>
      <c r="H202" s="234" t="n"/>
      <c r="I202" s="234">
        <f>SUM(I200:I201)</f>
        <v/>
      </c>
      <c r="J202" s="259">
        <f>SUM(J200:J201)</f>
        <v/>
      </c>
    </row>
    <row r="203" ht="12.75" customHeight="1" s="148">
      <c r="E203" s="227" t="n"/>
      <c r="F203" s="227" t="n"/>
      <c r="G203" s="227" t="n"/>
      <c r="H203" s="227" t="n"/>
      <c r="I203" s="227" t="n"/>
    </row>
    <row r="204" ht="12.75" customHeight="1" s="148">
      <c r="B204" s="213" t="inlineStr">
        <is>
          <t>Ending Equity (Calc)</t>
        </is>
      </c>
      <c r="E204" s="227" t="n"/>
      <c r="F204" s="227" t="n"/>
      <c r="G204" s="227" t="n"/>
      <c r="H204" s="227" t="n"/>
      <c r="I204" s="227">
        <f>+I190+I202</f>
        <v/>
      </c>
    </row>
    <row r="205" ht="12.75" customHeight="1" s="148">
      <c r="B205" s="213" t="inlineStr">
        <is>
          <t>Ending Equity (Link)</t>
        </is>
      </c>
      <c r="E205" s="227" t="n"/>
      <c r="F205" s="227" t="n"/>
      <c r="G205" s="227" t="n"/>
      <c r="H205" s="227" t="n"/>
      <c r="I205" s="227">
        <f>+J159</f>
        <v/>
      </c>
    </row>
    <row r="207" ht="12.75" customFormat="1" customHeight="1" s="283">
      <c r="A207" s="283" t="inlineStr">
        <is>
          <t>x</t>
        </is>
      </c>
      <c r="B207" s="283" t="inlineStr">
        <is>
          <t>Check</t>
        </is>
      </c>
      <c r="I207" s="284">
        <f>I204-I205</f>
        <v/>
      </c>
    </row>
  </sheetData>
  <mergeCells count="6">
    <mergeCell ref="B17:E17"/>
    <mergeCell ref="G10:J10"/>
    <mergeCell ref="D172:H172"/>
    <mergeCell ref="D180:H180"/>
    <mergeCell ref="B10:E10"/>
    <mergeCell ref="B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44546A"/>
    <outlinePr summaryBelow="1" summaryRight="1"/>
    <pageSetUpPr fitToPage="0"/>
  </sheetPr>
  <dimension ref="A1:L20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2.75" zeroHeight="0" outlineLevelRow="0"/>
  <cols>
    <col width="2.82" customWidth="1" style="213" min="1" max="1"/>
    <col width="11.54" customWidth="1" style="213" min="2" max="2"/>
    <col width="8.73" customWidth="1" style="213" min="3" max="16384"/>
  </cols>
  <sheetData>
    <row r="1" ht="16.15" customHeight="1" s="148">
      <c r="B1" s="214" t="inlineStr">
        <is>
          <t>Caterpillar / Bucyrus (2011) [STRATEGIC] — Full LBO model (template: LBO Model Solution)</t>
        </is>
      </c>
      <c r="G1" s="285" t="inlineStr">
        <is>
          <t>STRATEGIC, NOT AN LBO — see the paper tab banner</t>
        </is>
      </c>
    </row>
    <row r="2" ht="12.75" customHeight="1" s="148">
      <c r="B2" s="215" t="inlineStr">
        <is>
          <t>Assumptions</t>
        </is>
      </c>
      <c r="L2" s="163" t="inlineStr">
        <is>
          <t>INPUT NOTES</t>
        </is>
      </c>
    </row>
    <row r="3" ht="137.3" customHeight="1" s="148">
      <c r="B3" s="213" t="inlineStr">
        <is>
          <t>Entry Multiple</t>
        </is>
      </c>
      <c r="E3" s="216" t="n">
        <v>13.81</v>
      </c>
      <c r="G3" s="213" t="inlineStr">
        <is>
          <t>TL</t>
        </is>
      </c>
      <c r="I3" s="216" t="n">
        <v>7.061</v>
      </c>
      <c r="J3" s="217" t="n">
        <v>0.005</v>
      </c>
      <c r="L3" s="150" t="inlineStr">
        <is>
          <t>EBITDA at entry $637.3m and entry multiple 13.81x reproduce the filed/reported purchase price of $8,801m.</t>
        </is>
      </c>
    </row>
    <row r="4" ht="85.05" customHeight="1" s="148">
      <c r="B4" s="213" t="inlineStr">
        <is>
          <t>Exit Multiple</t>
        </is>
      </c>
      <c r="E4" s="216" t="n">
        <v>10</v>
      </c>
      <c r="G4" s="213" t="inlineStr">
        <is>
          <t>Mezz</t>
        </is>
      </c>
      <c r="I4" s="216" t="n">
        <v>0</v>
      </c>
      <c r="J4" s="217" t="n">
        <v>0</v>
      </c>
      <c r="L4" s="150" t="inlineStr">
        <is>
          <t>Term loan 7.061x EBITDA at 2.87%; mezz/second-lien 0.0x at 0.00%.</t>
        </is>
      </c>
    </row>
    <row r="5" ht="231.3" customHeight="1" s="148">
      <c r="B5" s="213" t="inlineStr">
        <is>
          <t>EBITDA at Entry</t>
        </is>
      </c>
      <c r="E5" s="218" t="n">
        <v>637.3</v>
      </c>
      <c r="G5" s="213" t="inlineStr">
        <is>
          <t>Days</t>
        </is>
      </c>
      <c r="I5" s="219" t="n">
        <v>365</v>
      </c>
      <c r="L5" s="150" t="inlineStr">
        <is>
          <t>Purchase-accounting inputs (NPV of assets, PP&amp;E allocation, DTL rate), working-capital days and D&amp;A/capex ratios are assumptions unless the paper tab's source column says otherwise.</t>
        </is>
      </c>
    </row>
    <row r="6" ht="179.1" customHeight="1" s="148">
      <c r="B6" s="213" t="inlineStr">
        <is>
          <t>Financing Fees Years</t>
        </is>
      </c>
      <c r="E6" s="220" t="n">
        <v>10</v>
      </c>
      <c r="G6" s="213" t="inlineStr">
        <is>
          <t>Tax Rate</t>
        </is>
      </c>
      <c r="I6" s="221" t="n">
        <v>0.3</v>
      </c>
      <c r="L6" s="150" t="inlineStr">
        <is>
          <t>Sensitivity tables (rows 173-186) are Excel data tables and recompute when opened in Excel; other spreadsheet apps may show the last cached values.</t>
        </is>
      </c>
    </row>
    <row r="7" ht="408.2" customHeight="1" s="148">
      <c r="B7" s="213" t="inlineStr">
        <is>
          <t>D&amp;A Life</t>
        </is>
      </c>
      <c r="E7" s="220" t="n">
        <v>15</v>
      </c>
      <c r="L7" s="150" t="inlineStr">
        <is>
          <t>Three template formulas are corrected on this tab so the model survives negative cash flow: CFF now includes the revolver draw (row 89); a negative cash balance no longer triggers a second revolver draw (row 110); the term-loan sweep only uses cash that exists (row 120). With positive cash flow the results are identical to the original.</t>
        </is>
      </c>
    </row>
    <row r="8" ht="179.1" customHeight="1" s="148">
      <c r="B8" s="213" t="inlineStr">
        <is>
          <t>Rollover</t>
        </is>
      </c>
      <c r="E8" s="222" t="n">
        <v>0</v>
      </c>
      <c r="G8" s="223" t="inlineStr">
        <is>
          <t>circ</t>
        </is>
      </c>
      <c r="H8" s="224" t="n"/>
      <c r="I8" s="225" t="n">
        <v>1</v>
      </c>
      <c r="J8" s="226" t="inlineStr">
        <is>
          <t>&lt;&lt; interest is charged on opening balances on this tab, so no iteration is needed; 1 keeps interest on</t>
        </is>
      </c>
      <c r="L8" s="150" t="inlineStr">
        <is>
          <t>Interest is charged on opening balances, which removes the template's circular reference; switch I8 is left at 1 so the interest lines stay live.</t>
        </is>
      </c>
    </row>
    <row r="10" ht="12.75" customHeight="1" s="148">
      <c r="B10" s="215" t="inlineStr">
        <is>
          <t>Sources</t>
        </is>
      </c>
      <c r="G10" s="215" t="inlineStr">
        <is>
          <t>Uses</t>
        </is>
      </c>
    </row>
    <row r="11" ht="12.75" customHeight="1" s="148">
      <c r="B11" s="213" t="inlineStr">
        <is>
          <t>Term Loan</t>
        </is>
      </c>
      <c r="E11" s="227">
        <f>+I3*$E$5</f>
        <v/>
      </c>
      <c r="G11" s="213" t="inlineStr">
        <is>
          <t>Equity purchase price</t>
        </is>
      </c>
      <c r="J11" s="227">
        <f>+E18</f>
        <v/>
      </c>
    </row>
    <row r="12" ht="12.75" customHeight="1" s="148">
      <c r="B12" s="213" t="inlineStr">
        <is>
          <t>Mezz Loan</t>
        </is>
      </c>
      <c r="E12" s="227">
        <f>+I4*$E$5</f>
        <v/>
      </c>
      <c r="G12" s="213" t="inlineStr">
        <is>
          <t>M&amp;A fee</t>
        </is>
      </c>
      <c r="J12" s="218" t="n">
        <v>60</v>
      </c>
    </row>
    <row r="13" ht="12.75" customHeight="1" s="148">
      <c r="B13" s="213" t="inlineStr">
        <is>
          <t>Management Rollover</t>
        </is>
      </c>
      <c r="E13" s="227">
        <f>+E18*E8</f>
        <v/>
      </c>
      <c r="G13" s="213" t="inlineStr">
        <is>
          <t>Fin. Fee</t>
        </is>
      </c>
      <c r="J13" s="228">
        <f>+J3*E11+J4*E12</f>
        <v/>
      </c>
    </row>
    <row r="14" ht="12.75" customHeight="1" s="148">
      <c r="B14" s="213" t="inlineStr">
        <is>
          <t>Sponsor Equity</t>
        </is>
      </c>
      <c r="E14" s="227">
        <f>E15-SUM(E11:E13)</f>
        <v/>
      </c>
      <c r="J14" s="227" t="n"/>
    </row>
    <row r="15" ht="12.75" customHeight="1" s="148">
      <c r="B15" s="229" t="inlineStr">
        <is>
          <t>Total Sources</t>
        </is>
      </c>
      <c r="C15" s="229" t="n"/>
      <c r="D15" s="229" t="n"/>
      <c r="E15" s="230">
        <f>J15</f>
        <v/>
      </c>
      <c r="G15" s="229" t="inlineStr">
        <is>
          <t>Total Uses</t>
        </is>
      </c>
      <c r="H15" s="229" t="n"/>
      <c r="I15" s="229" t="n"/>
      <c r="J15" s="230">
        <f>SUM(J11:J14)</f>
        <v/>
      </c>
    </row>
    <row r="17" ht="12.75" customHeight="1" s="148">
      <c r="B17" s="215" t="inlineStr">
        <is>
          <t>Purchase Acct</t>
        </is>
      </c>
      <c r="G17" s="231" t="n"/>
    </row>
    <row r="18" ht="12.75" customHeight="1" s="148">
      <c r="B18" s="213" t="inlineStr">
        <is>
          <t>Purchase Price</t>
        </is>
      </c>
      <c r="E18" s="227">
        <f>+E3*E5</f>
        <v/>
      </c>
      <c r="G18" s="232" t="n"/>
    </row>
    <row r="19" ht="12.75" customHeight="1" s="148">
      <c r="B19" s="213" t="inlineStr">
        <is>
          <t>(-) NPV</t>
        </is>
      </c>
      <c r="E19" s="218" t="n">
        <v>-1500</v>
      </c>
      <c r="G19" s="231" t="n"/>
    </row>
    <row r="20" ht="12.75" customHeight="1" s="148">
      <c r="B20" s="233" t="inlineStr">
        <is>
          <t>Excess</t>
        </is>
      </c>
      <c r="C20" s="233" t="n"/>
      <c r="D20" s="233" t="n"/>
      <c r="E20" s="234">
        <f>SUM(E18:E19)</f>
        <v/>
      </c>
      <c r="G20" s="231" t="n"/>
    </row>
    <row r="21" ht="12.75" customHeight="1" s="148">
      <c r="B21" s="213" t="inlineStr">
        <is>
          <t>(-) Alloc to PPE</t>
        </is>
      </c>
      <c r="D21" s="221" t="n">
        <v>0.1</v>
      </c>
      <c r="E21" s="227">
        <f>+-E20*D21</f>
        <v/>
      </c>
      <c r="G21" s="231" t="n"/>
    </row>
    <row r="22" ht="12.75" customHeight="1" s="148">
      <c r="B22" s="213" t="inlineStr">
        <is>
          <t>DTL</t>
        </is>
      </c>
      <c r="D22" s="221" t="n">
        <v>0.3</v>
      </c>
      <c r="E22" s="227">
        <f>+-E21*D22</f>
        <v/>
      </c>
      <c r="G22" s="231" t="n"/>
    </row>
    <row r="23" ht="12.75" customHeight="1" s="148">
      <c r="B23" s="235" t="inlineStr">
        <is>
          <t>Goodwill</t>
        </is>
      </c>
      <c r="C23" s="235" t="n"/>
      <c r="D23" s="235" t="n"/>
      <c r="E23" s="236">
        <f>SUM(E20:E22)</f>
        <v/>
      </c>
    </row>
    <row r="25" ht="12.75" customHeight="1" s="148">
      <c r="A25" s="213" t="inlineStr">
        <is>
          <t>x</t>
        </is>
      </c>
      <c r="B25" s="237" t="inlineStr">
        <is>
          <t>Income Statement</t>
        </is>
      </c>
      <c r="C25" s="237" t="n"/>
      <c r="D25" s="237" t="n"/>
      <c r="E25" s="237" t="n">
        <v>2010</v>
      </c>
      <c r="F25" s="237">
        <f>E25+1</f>
        <v/>
      </c>
      <c r="G25" s="237">
        <f>F25+1</f>
        <v/>
      </c>
      <c r="H25" s="237">
        <f>G25+1</f>
        <v/>
      </c>
      <c r="I25" s="237">
        <f>H25+1</f>
        <v/>
      </c>
      <c r="J25" s="237">
        <f>I25+1</f>
        <v/>
      </c>
    </row>
    <row r="26" ht="12.75" customHeight="1" s="148">
      <c r="B26" s="238" t="inlineStr">
        <is>
          <t>Revenue</t>
        </is>
      </c>
      <c r="C26" s="238" t="n"/>
      <c r="D26" s="238" t="n"/>
      <c r="E26" s="236">
        <f>+E31/E32</f>
        <v/>
      </c>
      <c r="F26" s="236">
        <f>+E26*(1+F27)</f>
        <v/>
      </c>
      <c r="G26" s="236">
        <f>+F26*(1+G27)</f>
        <v/>
      </c>
      <c r="H26" s="236">
        <f>+G26*(1+H27)</f>
        <v/>
      </c>
      <c r="I26" s="236">
        <f>+H26*(1+I27)</f>
        <v/>
      </c>
      <c r="J26" s="236">
        <f>+I26*(1+J27)</f>
        <v/>
      </c>
    </row>
    <row r="27" ht="12.75" customHeight="1" s="148">
      <c r="B27" s="239" t="inlineStr">
        <is>
          <t>% Growth</t>
        </is>
      </c>
      <c r="F27" s="221" t="n">
        <v>0.1</v>
      </c>
      <c r="G27" s="240">
        <f>+F27</f>
        <v/>
      </c>
      <c r="H27" s="240">
        <f>+G27</f>
        <v/>
      </c>
      <c r="I27" s="240">
        <f>+H27</f>
        <v/>
      </c>
      <c r="J27" s="240">
        <f>+I27</f>
        <v/>
      </c>
    </row>
    <row r="28" ht="12.75" customHeight="1" s="148">
      <c r="B28" s="213" t="inlineStr">
        <is>
          <t>(-) Cogs</t>
        </is>
      </c>
      <c r="E28" s="227">
        <f>E29-E26</f>
        <v/>
      </c>
      <c r="F28" s="227">
        <f>F29-F26</f>
        <v/>
      </c>
      <c r="G28" s="227">
        <f>G29-G26</f>
        <v/>
      </c>
      <c r="H28" s="227">
        <f>H29-H26</f>
        <v/>
      </c>
      <c r="I28" s="227">
        <f>I29-I26</f>
        <v/>
      </c>
      <c r="J28" s="227">
        <f>J29-J26</f>
        <v/>
      </c>
    </row>
    <row r="29" ht="12.75" customHeight="1" s="148">
      <c r="B29" s="235" t="inlineStr">
        <is>
          <t>Gross Profit</t>
        </is>
      </c>
      <c r="C29" s="235" t="n"/>
      <c r="D29" s="235" t="n"/>
      <c r="E29" s="236">
        <f>+E26*E30</f>
        <v/>
      </c>
      <c r="F29" s="236">
        <f>+F26*F30</f>
        <v/>
      </c>
      <c r="G29" s="236">
        <f>+G26*G30</f>
        <v/>
      </c>
      <c r="H29" s="236">
        <f>+H26*H30</f>
        <v/>
      </c>
      <c r="I29" s="236">
        <f>+I26*I30</f>
        <v/>
      </c>
      <c r="J29" s="236">
        <f>+J26*J30</f>
        <v/>
      </c>
    </row>
    <row r="30" ht="12.75" customHeight="1" s="148">
      <c r="B30" s="239" t="inlineStr">
        <is>
          <t>% Gross Margin</t>
        </is>
      </c>
      <c r="E30" s="221" t="n">
        <v>0.3</v>
      </c>
      <c r="F30" s="240">
        <f>+E30</f>
        <v/>
      </c>
      <c r="G30" s="240">
        <f>+F30</f>
        <v/>
      </c>
      <c r="H30" s="240">
        <f>+G30</f>
        <v/>
      </c>
      <c r="I30" s="240">
        <f>+H30</f>
        <v/>
      </c>
      <c r="J30" s="240">
        <f>+I30</f>
        <v/>
      </c>
    </row>
    <row r="31" ht="12.75" customHeight="1" s="148">
      <c r="B31" s="238" t="inlineStr">
        <is>
          <t>EBITDA</t>
        </is>
      </c>
      <c r="C31" s="238" t="n"/>
      <c r="D31" s="238" t="n"/>
      <c r="E31" s="241">
        <f>+E5</f>
        <v/>
      </c>
      <c r="F31" s="241">
        <f>+F26*F32</f>
        <v/>
      </c>
      <c r="G31" s="241">
        <f>+G26*G32</f>
        <v/>
      </c>
      <c r="H31" s="241">
        <f>+H26*H32</f>
        <v/>
      </c>
      <c r="I31" s="241">
        <f>+I26*I32</f>
        <v/>
      </c>
      <c r="J31" s="241">
        <f>+J26*J32</f>
        <v/>
      </c>
    </row>
    <row r="32" ht="12.75" customHeight="1" s="148">
      <c r="B32" s="242" t="inlineStr">
        <is>
          <t>% Margin</t>
        </is>
      </c>
      <c r="E32" s="221" t="n">
        <v>0.1746</v>
      </c>
      <c r="F32" s="221" t="n">
        <v>0.19</v>
      </c>
      <c r="G32" s="221" t="n">
        <v>0.21</v>
      </c>
      <c r="H32" s="221" t="n">
        <v>0.23</v>
      </c>
      <c r="I32" s="221" t="n">
        <v>0.25</v>
      </c>
      <c r="J32" s="221" t="n">
        <v>0.26</v>
      </c>
    </row>
    <row r="33" ht="12.75" customHeight="1" s="148">
      <c r="B33" s="213" t="inlineStr">
        <is>
          <t>(-) D&amp;A</t>
        </is>
      </c>
      <c r="F33" s="227">
        <f>+-F26*F46+F42</f>
        <v/>
      </c>
      <c r="G33" s="227">
        <f>+-G26*G46+G42</f>
        <v/>
      </c>
      <c r="H33" s="227">
        <f>+-H26*H46+H42</f>
        <v/>
      </c>
      <c r="I33" s="227">
        <f>+-I26*I46+I42</f>
        <v/>
      </c>
      <c r="J33" s="227">
        <f>+-J26*J46+J42</f>
        <v/>
      </c>
    </row>
    <row r="34" ht="12.75" customHeight="1" s="148">
      <c r="B34" s="235" t="inlineStr">
        <is>
          <t>EBIT</t>
        </is>
      </c>
      <c r="C34" s="235" t="n"/>
      <c r="D34" s="235" t="n"/>
      <c r="E34" s="235" t="n"/>
      <c r="F34" s="236">
        <f>+F31+F33</f>
        <v/>
      </c>
      <c r="G34" s="236">
        <f>+G31+G33</f>
        <v/>
      </c>
      <c r="H34" s="236">
        <f>+H31+H33</f>
        <v/>
      </c>
      <c r="I34" s="236">
        <f>+I31+I33</f>
        <v/>
      </c>
      <c r="J34" s="236">
        <f>+J31+J33</f>
        <v/>
      </c>
    </row>
    <row r="35" ht="12.75" customHeight="1" s="148">
      <c r="B35" s="213" t="inlineStr">
        <is>
          <t>(-) Interest Expense</t>
        </is>
      </c>
      <c r="F35" s="243">
        <f>+$I$8*F150</f>
        <v/>
      </c>
      <c r="G35" s="243">
        <f>+$I$8*G150</f>
        <v/>
      </c>
      <c r="H35" s="243">
        <f>+$I$8*H150</f>
        <v/>
      </c>
      <c r="I35" s="243">
        <f>+$I$8*I150</f>
        <v/>
      </c>
      <c r="J35" s="243">
        <f>+$I$8*J150</f>
        <v/>
      </c>
    </row>
    <row r="36" ht="12.75" customHeight="1" s="148">
      <c r="B36" s="213" t="inlineStr">
        <is>
          <t>(+) Interest Income</t>
        </is>
      </c>
      <c r="F36" s="243">
        <f>+$I$8*F148</f>
        <v/>
      </c>
      <c r="G36" s="243">
        <f>+$I$8*G148</f>
        <v/>
      </c>
      <c r="H36" s="243">
        <f>+$I$8*H148</f>
        <v/>
      </c>
      <c r="I36" s="243">
        <f>+$I$8*I148</f>
        <v/>
      </c>
      <c r="J36" s="243">
        <f>+$I$8*J148</f>
        <v/>
      </c>
    </row>
    <row r="37" ht="12.75" customHeight="1" s="148">
      <c r="B37" s="213" t="inlineStr">
        <is>
          <t>(-) Amort. Of Fin Fee</t>
        </is>
      </c>
      <c r="F37" s="227">
        <f>+-$J$13/$E$6</f>
        <v/>
      </c>
      <c r="G37" s="227">
        <f>+-$J$13/$E$6</f>
        <v/>
      </c>
      <c r="H37" s="227">
        <f>+-$J$13/$E$6</f>
        <v/>
      </c>
      <c r="I37" s="227">
        <f>+-$J$13/$E$6</f>
        <v/>
      </c>
      <c r="J37" s="227">
        <f>+-$J$13/$E$6</f>
        <v/>
      </c>
    </row>
    <row r="38" ht="12.75" customHeight="1" s="148">
      <c r="B38" s="235" t="inlineStr">
        <is>
          <t>EBT</t>
        </is>
      </c>
      <c r="C38" s="235" t="n"/>
      <c r="D38" s="235" t="n"/>
      <c r="E38" s="235" t="n"/>
      <c r="F38" s="236">
        <f>SUM(F34:F37)</f>
        <v/>
      </c>
      <c r="G38" s="236">
        <f>SUM(G34:G37)</f>
        <v/>
      </c>
      <c r="H38" s="236">
        <f>SUM(H34:H37)</f>
        <v/>
      </c>
      <c r="I38" s="236">
        <f>SUM(I34:I37)</f>
        <v/>
      </c>
      <c r="J38" s="236">
        <f>SUM(J34:J37)</f>
        <v/>
      </c>
    </row>
    <row r="39" ht="12.75" customHeight="1" s="148">
      <c r="B39" s="213" t="inlineStr">
        <is>
          <t>(-) Taxes</t>
        </is>
      </c>
      <c r="F39" s="227">
        <f>+-F38*$I$6</f>
        <v/>
      </c>
      <c r="G39" s="227">
        <f>+-G38*$I$6</f>
        <v/>
      </c>
      <c r="H39" s="227">
        <f>+-H38*$I$6</f>
        <v/>
      </c>
      <c r="I39" s="227">
        <f>+-I38*$I$6</f>
        <v/>
      </c>
      <c r="J39" s="227">
        <f>+-J38*$I$6</f>
        <v/>
      </c>
    </row>
    <row r="40" ht="12.75" customHeight="1" s="148">
      <c r="B40" s="235" t="inlineStr">
        <is>
          <t>Net Income</t>
        </is>
      </c>
      <c r="C40" s="235" t="n"/>
      <c r="D40" s="235" t="n"/>
      <c r="E40" s="235" t="n"/>
      <c r="F40" s="236">
        <f>SUM(F38:F39)</f>
        <v/>
      </c>
      <c r="G40" s="236">
        <f>SUM(G38:G39)</f>
        <v/>
      </c>
      <c r="H40" s="236">
        <f>SUM(H38:H39)</f>
        <v/>
      </c>
      <c r="I40" s="236">
        <f>SUM(I38:I39)</f>
        <v/>
      </c>
      <c r="J40" s="236">
        <f>SUM(J38:J39)</f>
        <v/>
      </c>
    </row>
    <row r="41" ht="12.75" customHeight="1" s="148">
      <c r="F41" s="227" t="n"/>
      <c r="G41" s="227" t="n"/>
      <c r="H41" s="227" t="n"/>
      <c r="I41" s="227" t="n"/>
      <c r="J41" s="227" t="n"/>
    </row>
    <row r="42" ht="12.75" customHeight="1" s="148">
      <c r="B42" s="213" t="inlineStr">
        <is>
          <t>Incremental D&amp;A</t>
        </is>
      </c>
      <c r="F42" s="227">
        <f>+$E$21/$E$7</f>
        <v/>
      </c>
      <c r="G42" s="227">
        <f>+$E$21/$E$7</f>
        <v/>
      </c>
      <c r="H42" s="227">
        <f>+$E$21/$E$7</f>
        <v/>
      </c>
      <c r="I42" s="227">
        <f>+$E$21/$E$7</f>
        <v/>
      </c>
      <c r="J42" s="227">
        <f>+$E$21/$E$7</f>
        <v/>
      </c>
    </row>
    <row r="43" ht="12.75" customHeight="1" s="148">
      <c r="B43" s="213" t="inlineStr">
        <is>
          <t>DTL</t>
        </is>
      </c>
      <c r="F43" s="227">
        <f>+F42*$D$22</f>
        <v/>
      </c>
      <c r="G43" s="227">
        <f>+G42*$D$22</f>
        <v/>
      </c>
      <c r="H43" s="227">
        <f>+H42*$D$22</f>
        <v/>
      </c>
      <c r="I43" s="227">
        <f>+I42*$D$22</f>
        <v/>
      </c>
      <c r="J43" s="227">
        <f>+J42*$D$22</f>
        <v/>
      </c>
    </row>
    <row r="44" ht="12.75" customHeight="1" s="148">
      <c r="B44" s="213" t="inlineStr">
        <is>
          <t>Capex</t>
        </is>
      </c>
      <c r="F44" s="227">
        <f>-F47*F33</f>
        <v/>
      </c>
      <c r="G44" s="227">
        <f>-G47*G33</f>
        <v/>
      </c>
      <c r="H44" s="227">
        <f>-H47*H33</f>
        <v/>
      </c>
      <c r="I44" s="227">
        <f>-I47*I33</f>
        <v/>
      </c>
      <c r="J44" s="227">
        <f>-J47*J33</f>
        <v/>
      </c>
    </row>
    <row r="46" ht="12.75" customHeight="1" s="148">
      <c r="B46" s="213" t="inlineStr">
        <is>
          <t>D&amp;A as % of Sales</t>
        </is>
      </c>
      <c r="F46" s="221" t="n">
        <v>0.0276</v>
      </c>
      <c r="G46" s="244">
        <f>+F46</f>
        <v/>
      </c>
      <c r="H46" s="244">
        <f>+G46</f>
        <v/>
      </c>
      <c r="I46" s="244">
        <f>+H46</f>
        <v/>
      </c>
      <c r="J46" s="244">
        <f>+I46</f>
        <v/>
      </c>
    </row>
    <row r="47" ht="12.75" customHeight="1" s="148">
      <c r="B47" s="213" t="inlineStr">
        <is>
          <t>Capex as % of D&amp;A</t>
        </is>
      </c>
      <c r="F47" s="221" t="n">
        <v>1</v>
      </c>
      <c r="G47" s="244">
        <f>+F47</f>
        <v/>
      </c>
      <c r="H47" s="244">
        <f>+G47</f>
        <v/>
      </c>
      <c r="I47" s="244">
        <f>+H47</f>
        <v/>
      </c>
      <c r="J47" s="244">
        <f>+I47</f>
        <v/>
      </c>
    </row>
    <row r="49" ht="12.75" customHeight="1" s="148">
      <c r="A49" s="213" t="inlineStr">
        <is>
          <t>x</t>
        </is>
      </c>
      <c r="B49" s="237" t="inlineStr">
        <is>
          <t>WC Schedule</t>
        </is>
      </c>
      <c r="C49" s="237" t="n"/>
      <c r="D49" s="237" t="n"/>
      <c r="E49" s="237" t="n">
        <v>2013</v>
      </c>
      <c r="F49" s="237">
        <f>E49+1</f>
        <v/>
      </c>
      <c r="G49" s="237">
        <f>F49+1</f>
        <v/>
      </c>
      <c r="H49" s="237">
        <f>G49+1</f>
        <v/>
      </c>
      <c r="I49" s="237">
        <f>H49+1</f>
        <v/>
      </c>
      <c r="J49" s="237">
        <f>I49+1</f>
        <v/>
      </c>
    </row>
    <row r="50" ht="12.75" customHeight="1" s="148">
      <c r="B50" s="213" t="inlineStr">
        <is>
          <t>AR</t>
        </is>
      </c>
      <c r="E50" s="227">
        <f>+E26*E57/$I$5</f>
        <v/>
      </c>
      <c r="F50" s="227">
        <f>+F26*F57/$I$5</f>
        <v/>
      </c>
      <c r="G50" s="227">
        <f>+G26*G57/$I$5</f>
        <v/>
      </c>
      <c r="H50" s="227">
        <f>+H26*H57/$I$5</f>
        <v/>
      </c>
      <c r="I50" s="227">
        <f>+I26*I57/$I$5</f>
        <v/>
      </c>
      <c r="J50" s="227">
        <f>+J26*J57/$I$5</f>
        <v/>
      </c>
    </row>
    <row r="51" ht="12.75" customHeight="1" s="148">
      <c r="B51" s="213" t="inlineStr">
        <is>
          <t>Inventory</t>
        </is>
      </c>
      <c r="E51" s="227">
        <f>-E28/E58</f>
        <v/>
      </c>
      <c r="F51" s="227">
        <f>-F28/F58</f>
        <v/>
      </c>
      <c r="G51" s="227">
        <f>-G28/G58</f>
        <v/>
      </c>
      <c r="H51" s="227">
        <f>-H28/H58</f>
        <v/>
      </c>
      <c r="I51" s="227">
        <f>-I28/I58</f>
        <v/>
      </c>
      <c r="J51" s="227">
        <f>-J28/J58</f>
        <v/>
      </c>
    </row>
    <row r="52" ht="12.75" customHeight="1" s="148">
      <c r="B52" s="213" t="inlineStr">
        <is>
          <t>AP</t>
        </is>
      </c>
      <c r="E52" s="227">
        <f>-E28*E59/$I$5</f>
        <v/>
      </c>
      <c r="F52" s="227">
        <f>-F28*F59/$I$5</f>
        <v/>
      </c>
      <c r="G52" s="227">
        <f>-G28*G59/$I$5</f>
        <v/>
      </c>
      <c r="H52" s="227">
        <f>-H28*H59/$I$5</f>
        <v/>
      </c>
      <c r="I52" s="227">
        <f>-I28*I59/$I$5</f>
        <v/>
      </c>
      <c r="J52" s="227">
        <f>-J28*J59/$I$5</f>
        <v/>
      </c>
    </row>
    <row r="53" ht="12.75" customHeight="1" s="148">
      <c r="B53" s="233" t="inlineStr">
        <is>
          <t>WC</t>
        </is>
      </c>
      <c r="C53" s="233" t="n"/>
      <c r="D53" s="233" t="n"/>
      <c r="E53" s="234">
        <f>+E50+E51-E52</f>
        <v/>
      </c>
      <c r="F53" s="234">
        <f>+F50+F51-F52</f>
        <v/>
      </c>
      <c r="G53" s="234">
        <f>+G50+G51-G52</f>
        <v/>
      </c>
      <c r="H53" s="234">
        <f>+H50+H51-H52</f>
        <v/>
      </c>
      <c r="I53" s="234">
        <f>+I50+I51-I52</f>
        <v/>
      </c>
      <c r="J53" s="234">
        <f>+J50+J51-J52</f>
        <v/>
      </c>
    </row>
    <row r="54" ht="12.75" customHeight="1" s="148">
      <c r="B54" s="213" t="inlineStr">
        <is>
          <t>Change in WC</t>
        </is>
      </c>
      <c r="E54" s="227" t="n"/>
      <c r="F54" s="227">
        <f>+F53-E53</f>
        <v/>
      </c>
      <c r="G54" s="227">
        <f>+G53-F53</f>
        <v/>
      </c>
      <c r="H54" s="227">
        <f>+H53-G53</f>
        <v/>
      </c>
      <c r="I54" s="227">
        <f>+I53-H53</f>
        <v/>
      </c>
      <c r="J54" s="227">
        <f>+J53-I53</f>
        <v/>
      </c>
    </row>
    <row r="56" ht="12.75" customHeight="1" s="148">
      <c r="B56" s="245" t="inlineStr">
        <is>
          <t>Metrics</t>
        </is>
      </c>
    </row>
    <row r="57" ht="12.75" customHeight="1" s="148">
      <c r="B57" s="213" t="inlineStr">
        <is>
          <t>AR</t>
        </is>
      </c>
      <c r="E57" s="246" t="n">
        <v>60</v>
      </c>
      <c r="F57" s="247">
        <f>+E57</f>
        <v/>
      </c>
      <c r="G57" s="247">
        <f>+F57</f>
        <v/>
      </c>
      <c r="H57" s="247">
        <f>+G57</f>
        <v/>
      </c>
      <c r="I57" s="247">
        <f>+H57</f>
        <v/>
      </c>
      <c r="J57" s="247">
        <f>+I57</f>
        <v/>
      </c>
    </row>
    <row r="58" ht="12.75" customHeight="1" s="148">
      <c r="B58" s="213" t="inlineStr">
        <is>
          <t>Inventory</t>
        </is>
      </c>
      <c r="E58" s="216" t="n">
        <v>2.5</v>
      </c>
      <c r="F58" s="248">
        <f>+E58</f>
        <v/>
      </c>
      <c r="G58" s="248">
        <f>+F58</f>
        <v/>
      </c>
      <c r="H58" s="248">
        <f>+G58</f>
        <v/>
      </c>
      <c r="I58" s="248">
        <f>+H58</f>
        <v/>
      </c>
      <c r="J58" s="248">
        <f>+I58</f>
        <v/>
      </c>
    </row>
    <row r="59" ht="12.75" customHeight="1" s="148">
      <c r="B59" s="213" t="inlineStr">
        <is>
          <t>AP</t>
        </is>
      </c>
      <c r="E59" s="246" t="n">
        <v>50</v>
      </c>
      <c r="F59" s="247">
        <f>+E59</f>
        <v/>
      </c>
      <c r="G59" s="247">
        <f>+F59</f>
        <v/>
      </c>
      <c r="H59" s="247">
        <f>+G59</f>
        <v/>
      </c>
      <c r="I59" s="247">
        <f>+H59</f>
        <v/>
      </c>
      <c r="J59" s="247">
        <f>+I59</f>
        <v/>
      </c>
    </row>
    <row r="61" ht="12.75" customHeight="1" s="148">
      <c r="A61" s="213" t="inlineStr">
        <is>
          <t>x</t>
        </is>
      </c>
      <c r="B61" s="237" t="inlineStr">
        <is>
          <t>Cap Table</t>
        </is>
      </c>
      <c r="C61" s="237" t="n"/>
      <c r="D61" s="237" t="n"/>
      <c r="E61" s="237" t="n">
        <v>2013</v>
      </c>
      <c r="F61" s="237">
        <f>E61+1</f>
        <v/>
      </c>
      <c r="G61" s="237">
        <f>F61+1</f>
        <v/>
      </c>
      <c r="H61" s="237">
        <f>G61+1</f>
        <v/>
      </c>
      <c r="I61" s="237">
        <f>H61+1</f>
        <v/>
      </c>
      <c r="J61" s="237">
        <f>I61+1</f>
        <v/>
      </c>
    </row>
    <row r="62" ht="12.75" customHeight="1" s="148">
      <c r="B62" s="213" t="inlineStr">
        <is>
          <t>Cash</t>
        </is>
      </c>
      <c r="E62" s="249" t="n">
        <v>0</v>
      </c>
      <c r="F62" s="228">
        <f>+E62+F92</f>
        <v/>
      </c>
      <c r="G62" s="228">
        <f>+F62+G92</f>
        <v/>
      </c>
      <c r="H62" s="228">
        <f>+G62+H92</f>
        <v/>
      </c>
      <c r="I62" s="228">
        <f>+H62+I92</f>
        <v/>
      </c>
      <c r="J62" s="228">
        <f>+I62+J92</f>
        <v/>
      </c>
    </row>
    <row r="63" ht="12.75" customHeight="1" s="148">
      <c r="E63" s="249" t="n"/>
      <c r="F63" s="228" t="n"/>
      <c r="G63" s="228" t="n"/>
      <c r="H63" s="228" t="n"/>
      <c r="I63" s="228" t="n"/>
      <c r="J63" s="228" t="n"/>
    </row>
    <row r="64" ht="12.75" customHeight="1" s="148">
      <c r="B64" s="213" t="inlineStr">
        <is>
          <t>Revolver</t>
        </is>
      </c>
      <c r="E64" s="249" t="n">
        <v>0</v>
      </c>
      <c r="F64" s="228">
        <f>+F111</f>
        <v/>
      </c>
      <c r="G64" s="228">
        <f>+G111</f>
        <v/>
      </c>
      <c r="H64" s="228">
        <f>+H111</f>
        <v/>
      </c>
      <c r="I64" s="228">
        <f>+I111</f>
        <v/>
      </c>
      <c r="J64" s="228">
        <f>+J111</f>
        <v/>
      </c>
    </row>
    <row r="65" ht="12.75" customHeight="1" s="148">
      <c r="B65" s="213" t="inlineStr">
        <is>
          <t>Term Loan</t>
        </is>
      </c>
      <c r="E65" s="228">
        <f>+E11</f>
        <v/>
      </c>
      <c r="F65" s="228">
        <f>+F121</f>
        <v/>
      </c>
      <c r="G65" s="228">
        <f>+G121</f>
        <v/>
      </c>
      <c r="H65" s="228">
        <f>+H121</f>
        <v/>
      </c>
      <c r="I65" s="228">
        <f>+I121</f>
        <v/>
      </c>
      <c r="J65" s="228">
        <f>+J121</f>
        <v/>
      </c>
    </row>
    <row r="66" ht="12.75" customHeight="1" s="148">
      <c r="B66" s="213" t="inlineStr">
        <is>
          <t>Mezz Loan</t>
        </is>
      </c>
      <c r="E66" s="228">
        <f>+E12</f>
        <v/>
      </c>
      <c r="F66" s="228">
        <f>+F132</f>
        <v/>
      </c>
      <c r="G66" s="228">
        <f>+G132</f>
        <v/>
      </c>
      <c r="H66" s="228">
        <f>+H132</f>
        <v/>
      </c>
      <c r="I66" s="228">
        <f>+I132</f>
        <v/>
      </c>
      <c r="J66" s="228">
        <f>+J132</f>
        <v/>
      </c>
    </row>
    <row r="67" ht="12.75" customHeight="1" s="148">
      <c r="B67" s="233" t="inlineStr">
        <is>
          <t>Total Debt</t>
        </is>
      </c>
      <c r="C67" s="233" t="n"/>
      <c r="D67" s="233" t="n"/>
      <c r="E67" s="234">
        <f>SUM(E64:E66)</f>
        <v/>
      </c>
      <c r="F67" s="234">
        <f>SUM(F64:F66)</f>
        <v/>
      </c>
      <c r="G67" s="234">
        <f>SUM(G64:G66)</f>
        <v/>
      </c>
      <c r="H67" s="234">
        <f>SUM(H64:H66)</f>
        <v/>
      </c>
      <c r="I67" s="234">
        <f>SUM(I64:I66)</f>
        <v/>
      </c>
      <c r="J67" s="234">
        <f>SUM(J64:J66)</f>
        <v/>
      </c>
    </row>
    <row r="68" ht="12.75" customHeight="1" s="148">
      <c r="B68" s="213" t="inlineStr">
        <is>
          <t>Equity</t>
        </is>
      </c>
      <c r="E68" s="228">
        <f>SUM(E13:E14)-J12</f>
        <v/>
      </c>
      <c r="F68" s="228">
        <f>+E68+F40</f>
        <v/>
      </c>
      <c r="G68" s="228">
        <f>+F68+G40</f>
        <v/>
      </c>
      <c r="H68" s="228">
        <f>+G68+H40</f>
        <v/>
      </c>
      <c r="I68" s="228">
        <f>+H68+I40</f>
        <v/>
      </c>
      <c r="J68" s="228">
        <f>+I68+J40</f>
        <v/>
      </c>
    </row>
    <row r="69" ht="12.75" customHeight="1" s="148">
      <c r="B69" s="233" t="inlineStr">
        <is>
          <t>Total Cap</t>
        </is>
      </c>
      <c r="C69" s="233" t="n"/>
      <c r="D69" s="233" t="n"/>
      <c r="E69" s="234">
        <f>SUM(E67:E68)</f>
        <v/>
      </c>
      <c r="F69" s="234">
        <f>SUM(F67:F68)</f>
        <v/>
      </c>
      <c r="G69" s="234">
        <f>SUM(G67:G68)</f>
        <v/>
      </c>
      <c r="H69" s="234">
        <f>SUM(H67:H68)</f>
        <v/>
      </c>
      <c r="I69" s="234">
        <f>SUM(I67:I68)</f>
        <v/>
      </c>
      <c r="J69" s="234">
        <f>SUM(J67:J68)</f>
        <v/>
      </c>
    </row>
    <row r="71" ht="12.75" customHeight="1" s="148">
      <c r="B71" s="213" t="inlineStr">
        <is>
          <t>Term Loan / EBITDA</t>
        </is>
      </c>
      <c r="E71" s="250">
        <f>+E65/$E$31</f>
        <v/>
      </c>
      <c r="F71" s="250">
        <f>+F65/$E$31</f>
        <v/>
      </c>
      <c r="G71" s="250">
        <f>+G65/$E$31</f>
        <v/>
      </c>
      <c r="H71" s="250">
        <f>+H65/$E$31</f>
        <v/>
      </c>
      <c r="I71" s="250">
        <f>+I65/$E$31</f>
        <v/>
      </c>
      <c r="J71" s="250">
        <f>+J65/$E$31</f>
        <v/>
      </c>
    </row>
    <row r="72" ht="12.75" customHeight="1" s="148">
      <c r="B72" s="213" t="inlineStr">
        <is>
          <t>Mezz Loan / EBITDA</t>
        </is>
      </c>
      <c r="E72" s="250">
        <f>+E66/$E$31</f>
        <v/>
      </c>
      <c r="F72" s="250">
        <f>+F66/$E$31</f>
        <v/>
      </c>
      <c r="G72" s="250">
        <f>+G66/$E$31</f>
        <v/>
      </c>
      <c r="H72" s="250">
        <f>+H66/$E$31</f>
        <v/>
      </c>
      <c r="I72" s="250">
        <f>+I66/$E$31</f>
        <v/>
      </c>
      <c r="J72" s="250">
        <f>+J66/$E$31</f>
        <v/>
      </c>
    </row>
    <row r="73" ht="12.75" customHeight="1" s="148">
      <c r="B73" s="213" t="inlineStr">
        <is>
          <t>Total Debt / EBITDA</t>
        </is>
      </c>
      <c r="E73" s="250">
        <f>+E67/$E$31</f>
        <v/>
      </c>
      <c r="F73" s="250">
        <f>+F67/$E$31</f>
        <v/>
      </c>
      <c r="G73" s="250">
        <f>+G67/$E$31</f>
        <v/>
      </c>
      <c r="H73" s="250">
        <f>+H67/$E$31</f>
        <v/>
      </c>
      <c r="I73" s="250">
        <f>+I67/$E$31</f>
        <v/>
      </c>
      <c r="J73" s="250">
        <f>+J67/$E$31</f>
        <v/>
      </c>
    </row>
    <row r="74" ht="12.75" customHeight="1" s="148">
      <c r="B74" s="213" t="inlineStr">
        <is>
          <t>Total Debt / Cap</t>
        </is>
      </c>
      <c r="E74" s="251">
        <f>+E67/E69</f>
        <v/>
      </c>
      <c r="F74" s="251">
        <f>+F67/F69</f>
        <v/>
      </c>
      <c r="G74" s="251">
        <f>+G67/G69</f>
        <v/>
      </c>
      <c r="H74" s="251">
        <f>+H67/H69</f>
        <v/>
      </c>
      <c r="I74" s="251">
        <f>+I67/I69</f>
        <v/>
      </c>
      <c r="J74" s="251">
        <f>+J67/J69</f>
        <v/>
      </c>
    </row>
    <row r="76" ht="12.75" customHeight="1" s="148">
      <c r="A76" s="213" t="inlineStr">
        <is>
          <t>x</t>
        </is>
      </c>
      <c r="B76" s="237" t="inlineStr">
        <is>
          <t>Cash Flow Statement</t>
        </is>
      </c>
      <c r="C76" s="237" t="n"/>
      <c r="D76" s="237" t="n"/>
      <c r="E76" s="237" t="n">
        <v>2013</v>
      </c>
      <c r="F76" s="237">
        <f>E76+1</f>
        <v/>
      </c>
      <c r="G76" s="237">
        <f>F76+1</f>
        <v/>
      </c>
      <c r="H76" s="237">
        <f>G76+1</f>
        <v/>
      </c>
      <c r="I76" s="237">
        <f>H76+1</f>
        <v/>
      </c>
      <c r="J76" s="237">
        <f>I76+1</f>
        <v/>
      </c>
    </row>
    <row r="77" ht="12.75" customHeight="1" s="148">
      <c r="B77" s="213" t="inlineStr">
        <is>
          <t>Net Income</t>
        </is>
      </c>
      <c r="F77" s="227">
        <f>+F40</f>
        <v/>
      </c>
      <c r="G77" s="227">
        <f>+G40</f>
        <v/>
      </c>
      <c r="H77" s="227">
        <f>+H40</f>
        <v/>
      </c>
      <c r="I77" s="227">
        <f>+I40</f>
        <v/>
      </c>
      <c r="J77" s="227">
        <f>+J40</f>
        <v/>
      </c>
    </row>
    <row r="78" ht="12.75" customHeight="1" s="148">
      <c r="B78" s="213" t="inlineStr">
        <is>
          <t>(+) D&amp;A</t>
        </is>
      </c>
      <c r="F78" s="227">
        <f>+-F33</f>
        <v/>
      </c>
      <c r="G78" s="227">
        <f>+-G33</f>
        <v/>
      </c>
      <c r="H78" s="227">
        <f>+-H33</f>
        <v/>
      </c>
      <c r="I78" s="227">
        <f>+-I33</f>
        <v/>
      </c>
      <c r="J78" s="227">
        <f>+-J33</f>
        <v/>
      </c>
    </row>
    <row r="79" ht="12.75" customHeight="1" s="148">
      <c r="B79" s="213" t="inlineStr">
        <is>
          <t>(-) DTL</t>
        </is>
      </c>
      <c r="F79" s="227">
        <f>+F43</f>
        <v/>
      </c>
      <c r="G79" s="227">
        <f>+G43</f>
        <v/>
      </c>
      <c r="H79" s="227">
        <f>+H43</f>
        <v/>
      </c>
      <c r="I79" s="227">
        <f>+I43</f>
        <v/>
      </c>
      <c r="J79" s="227">
        <f>+J43</f>
        <v/>
      </c>
    </row>
    <row r="80" ht="12.75" customHeight="1" s="148">
      <c r="B80" s="213" t="inlineStr">
        <is>
          <t>(+) PIK</t>
        </is>
      </c>
      <c r="F80" s="227">
        <f>-+F139</f>
        <v/>
      </c>
      <c r="G80" s="227">
        <f>-+G139</f>
        <v/>
      </c>
      <c r="H80" s="227">
        <f>-+H139</f>
        <v/>
      </c>
      <c r="I80" s="227">
        <f>-+I139</f>
        <v/>
      </c>
      <c r="J80" s="227">
        <f>-+J139</f>
        <v/>
      </c>
    </row>
    <row r="81" ht="12.75" customHeight="1" s="148">
      <c r="B81" s="213" t="inlineStr">
        <is>
          <t>(+) Amort Fee</t>
        </is>
      </c>
      <c r="F81" s="227">
        <f>+-F37</f>
        <v/>
      </c>
      <c r="G81" s="227">
        <f>+-G37</f>
        <v/>
      </c>
      <c r="H81" s="227">
        <f>+-H37</f>
        <v/>
      </c>
      <c r="I81" s="227">
        <f>+-I37</f>
        <v/>
      </c>
      <c r="J81" s="227">
        <f>+-J37</f>
        <v/>
      </c>
    </row>
    <row r="82" ht="12.75" customHeight="1" s="148">
      <c r="B82" s="213" t="inlineStr">
        <is>
          <t>(-) Change WC</t>
        </is>
      </c>
      <c r="F82" s="227">
        <f>+-F54</f>
        <v/>
      </c>
      <c r="G82" s="227">
        <f>+-G54</f>
        <v/>
      </c>
      <c r="H82" s="227">
        <f>+-H54</f>
        <v/>
      </c>
      <c r="I82" s="227">
        <f>+-I54</f>
        <v/>
      </c>
      <c r="J82" s="227">
        <f>+-J54</f>
        <v/>
      </c>
    </row>
    <row r="83" ht="12.75" customHeight="1" s="148">
      <c r="B83" s="233" t="inlineStr">
        <is>
          <t>CFO</t>
        </is>
      </c>
      <c r="C83" s="233" t="n"/>
      <c r="D83" s="233" t="n"/>
      <c r="E83" s="233" t="n"/>
      <c r="F83" s="234">
        <f>SUM(F77:F82)</f>
        <v/>
      </c>
      <c r="G83" s="234">
        <f>SUM(G77:G82)</f>
        <v/>
      </c>
      <c r="H83" s="234">
        <f>SUM(H77:H82)</f>
        <v/>
      </c>
      <c r="I83" s="234">
        <f>SUM(I77:I82)</f>
        <v/>
      </c>
      <c r="J83" s="234">
        <f>SUM(J77:J82)</f>
        <v/>
      </c>
    </row>
    <row r="84" ht="12.75" customHeight="1" s="148">
      <c r="F84" s="227" t="n"/>
      <c r="G84" s="227" t="n"/>
      <c r="H84" s="227" t="n"/>
      <c r="I84" s="227" t="n"/>
      <c r="J84" s="227" t="n"/>
    </row>
    <row r="85" ht="12.75" customHeight="1" s="148">
      <c r="B85" s="213" t="inlineStr">
        <is>
          <t>Capex</t>
        </is>
      </c>
      <c r="F85" s="227">
        <f>+-F44</f>
        <v/>
      </c>
      <c r="G85" s="227">
        <f>+-G44</f>
        <v/>
      </c>
      <c r="H85" s="227">
        <f>+-H44</f>
        <v/>
      </c>
      <c r="I85" s="227">
        <f>+-I44</f>
        <v/>
      </c>
      <c r="J85" s="227">
        <f>+-J44</f>
        <v/>
      </c>
    </row>
    <row r="86" ht="12.75" customHeight="1" s="148">
      <c r="B86" s="233" t="inlineStr">
        <is>
          <t>CFI</t>
        </is>
      </c>
      <c r="C86" s="233" t="n"/>
      <c r="D86" s="233" t="n"/>
      <c r="E86" s="233" t="n"/>
      <c r="F86" s="234">
        <f>SUM(F85)</f>
        <v/>
      </c>
      <c r="G86" s="234">
        <f>SUM(G85)</f>
        <v/>
      </c>
      <c r="H86" s="234">
        <f>SUM(H85)</f>
        <v/>
      </c>
      <c r="I86" s="234">
        <f>SUM(I85)</f>
        <v/>
      </c>
      <c r="J86" s="234">
        <f>SUM(J85)</f>
        <v/>
      </c>
    </row>
    <row r="87" ht="12.75" customHeight="1" s="148">
      <c r="F87" s="227" t="n"/>
      <c r="G87" s="227" t="n"/>
      <c r="H87" s="227" t="n"/>
      <c r="I87" s="227" t="n"/>
      <c r="J87" s="227" t="n"/>
    </row>
    <row r="88" ht="12.75" customHeight="1" s="148">
      <c r="B88" s="213" t="inlineStr">
        <is>
          <t>Mand. Paymnet</t>
        </is>
      </c>
      <c r="F88" s="227">
        <f>+F119</f>
        <v/>
      </c>
      <c r="G88" s="227">
        <f>+G119</f>
        <v/>
      </c>
      <c r="H88" s="227">
        <f>+H119</f>
        <v/>
      </c>
      <c r="I88" s="227">
        <f>+I119</f>
        <v/>
      </c>
      <c r="J88" s="227">
        <f>+J119</f>
        <v/>
      </c>
    </row>
    <row r="89" ht="12.75" customHeight="1" s="148">
      <c r="B89" s="213" t="inlineStr">
        <is>
          <t>Optional Payment</t>
        </is>
      </c>
      <c r="F89" s="227">
        <f>+SUM(F100,F102,F104)</f>
        <v/>
      </c>
      <c r="G89" s="227">
        <f>+SUM(G100,G102,G104)</f>
        <v/>
      </c>
      <c r="H89" s="227">
        <f>+SUM(H100,H102,H104)</f>
        <v/>
      </c>
      <c r="I89" s="227">
        <f>+SUM(I100,I102,I104)</f>
        <v/>
      </c>
      <c r="J89" s="227">
        <f>+SUM(J100,J102,J104)</f>
        <v/>
      </c>
    </row>
    <row r="90" ht="12.75" customHeight="1" s="148">
      <c r="B90" s="233" t="inlineStr">
        <is>
          <t>CFF</t>
        </is>
      </c>
      <c r="C90" s="233" t="n"/>
      <c r="D90" s="233" t="n"/>
      <c r="E90" s="233" t="n"/>
      <c r="F90" s="234">
        <f>SUM(F88:F89)</f>
        <v/>
      </c>
      <c r="G90" s="234">
        <f>SUM(G88:G89)</f>
        <v/>
      </c>
      <c r="H90" s="234">
        <f>SUM(H88:H89)</f>
        <v/>
      </c>
      <c r="I90" s="234">
        <f>SUM(I88:I89)</f>
        <v/>
      </c>
      <c r="J90" s="234">
        <f>SUM(J88:J89)</f>
        <v/>
      </c>
    </row>
    <row r="91" ht="12.75" customHeight="1" s="148">
      <c r="F91" s="227" t="n"/>
      <c r="G91" s="227" t="n"/>
      <c r="H91" s="227" t="n"/>
      <c r="I91" s="227" t="n"/>
      <c r="J91" s="227" t="n"/>
    </row>
    <row r="92" ht="12.75" customHeight="1" s="148">
      <c r="B92" s="213" t="inlineStr">
        <is>
          <t>Change in Cash</t>
        </is>
      </c>
      <c r="F92" s="227">
        <f>+SUM(F83,F86,F90)</f>
        <v/>
      </c>
      <c r="G92" s="227">
        <f>+SUM(G83,G86,G90)</f>
        <v/>
      </c>
      <c r="H92" s="227">
        <f>+SUM(H83,H86,H90)</f>
        <v/>
      </c>
      <c r="I92" s="227">
        <f>+SUM(I83,I86,I90)</f>
        <v/>
      </c>
      <c r="J92" s="227">
        <f>+SUM(J83,J86,J90)</f>
        <v/>
      </c>
    </row>
    <row r="94" ht="12.75" customHeight="1" s="148">
      <c r="A94" s="213" t="inlineStr">
        <is>
          <t>x</t>
        </is>
      </c>
      <c r="B94" s="237" t="inlineStr">
        <is>
          <t>Debt Paydown</t>
        </is>
      </c>
      <c r="C94" s="237" t="n"/>
      <c r="D94" s="237" t="n"/>
      <c r="E94" s="237" t="n">
        <v>2013</v>
      </c>
      <c r="F94" s="237">
        <f>E94+1</f>
        <v/>
      </c>
      <c r="G94" s="237">
        <f>F94+1</f>
        <v/>
      </c>
      <c r="H94" s="237">
        <f>G94+1</f>
        <v/>
      </c>
      <c r="I94" s="237">
        <f>H94+1</f>
        <v/>
      </c>
      <c r="J94" s="237">
        <f>I94+1</f>
        <v/>
      </c>
    </row>
    <row r="95" ht="12.75" customHeight="1" s="148">
      <c r="B95" s="213" t="inlineStr">
        <is>
          <t>Beg Cash</t>
        </is>
      </c>
      <c r="E95" s="227" t="n"/>
      <c r="F95" s="227">
        <f>+E62</f>
        <v/>
      </c>
      <c r="G95" s="227">
        <f>+F62</f>
        <v/>
      </c>
      <c r="H95" s="227">
        <f>+G62</f>
        <v/>
      </c>
      <c r="I95" s="227">
        <f>+H62</f>
        <v/>
      </c>
      <c r="J95" s="227">
        <f>+I62</f>
        <v/>
      </c>
    </row>
    <row r="96" ht="12.75" customHeight="1" s="148">
      <c r="B96" s="213" t="inlineStr">
        <is>
          <t>(-) Min Cash</t>
        </is>
      </c>
      <c r="E96" s="227" t="n"/>
      <c r="F96" s="249" t="n">
        <v>-200</v>
      </c>
      <c r="G96" s="249" t="n">
        <v>-200</v>
      </c>
      <c r="H96" s="249" t="n">
        <v>-200</v>
      </c>
      <c r="I96" s="249" t="n">
        <v>-200</v>
      </c>
      <c r="J96" s="249" t="n">
        <v>-200</v>
      </c>
    </row>
    <row r="97" ht="12.75" customHeight="1" s="148">
      <c r="B97" s="213" t="inlineStr">
        <is>
          <t>(+) CFO + CFI</t>
        </is>
      </c>
      <c r="E97" s="227" t="n"/>
      <c r="F97" s="227">
        <f>+F83+F86</f>
        <v/>
      </c>
      <c r="G97" s="227">
        <f>+G83+G86</f>
        <v/>
      </c>
      <c r="H97" s="227">
        <f>+H83+H86</f>
        <v/>
      </c>
      <c r="I97" s="227">
        <f>+I83+I86</f>
        <v/>
      </c>
      <c r="J97" s="227">
        <f>+J83+J86</f>
        <v/>
      </c>
    </row>
    <row r="98" ht="12.75" customHeight="1" s="148">
      <c r="B98" s="213" t="inlineStr">
        <is>
          <t>(-) Mand. Payment</t>
        </is>
      </c>
      <c r="E98" s="227" t="n"/>
      <c r="F98" s="227">
        <f>+F88</f>
        <v/>
      </c>
      <c r="G98" s="227">
        <f>+G88</f>
        <v/>
      </c>
      <c r="H98" s="227">
        <f>+H88</f>
        <v/>
      </c>
      <c r="I98" s="227">
        <f>+I88</f>
        <v/>
      </c>
      <c r="J98" s="227">
        <f>+J88</f>
        <v/>
      </c>
    </row>
    <row r="99" ht="12.75" customHeight="1" s="148">
      <c r="B99" s="233" t="inlineStr">
        <is>
          <t>Cash Avail for Revolver</t>
        </is>
      </c>
      <c r="C99" s="233" t="n"/>
      <c r="D99" s="233" t="n"/>
      <c r="E99" s="234" t="n"/>
      <c r="F99" s="234">
        <f>SUM(F95:F98)</f>
        <v/>
      </c>
      <c r="G99" s="234">
        <f>SUM(G95:G98)</f>
        <v/>
      </c>
      <c r="H99" s="234">
        <f>SUM(H95:H98)</f>
        <v/>
      </c>
      <c r="I99" s="234">
        <f>SUM(I95:I98)</f>
        <v/>
      </c>
      <c r="J99" s="234">
        <f>SUM(J95:J98)</f>
        <v/>
      </c>
    </row>
    <row r="100" ht="12.75" customHeight="1" s="148">
      <c r="B100" s="213" t="inlineStr">
        <is>
          <t>(-) Drawdown / Paydown</t>
        </is>
      </c>
      <c r="E100" s="227" t="n"/>
      <c r="F100" s="227">
        <f>+SUM(F109:F110)</f>
        <v/>
      </c>
      <c r="G100" s="227">
        <f>+SUM(G109:G110)</f>
        <v/>
      </c>
      <c r="H100" s="227">
        <f>+SUM(H109:H110)</f>
        <v/>
      </c>
      <c r="I100" s="227">
        <f>+SUM(I109:I110)</f>
        <v/>
      </c>
      <c r="J100" s="227">
        <f>+SUM(J109:J110)</f>
        <v/>
      </c>
    </row>
    <row r="101" ht="12.75" customHeight="1" s="148">
      <c r="B101" s="233" t="inlineStr">
        <is>
          <t>Cash Avail for Term Loan</t>
        </is>
      </c>
      <c r="C101" s="233" t="n"/>
      <c r="D101" s="233" t="n"/>
      <c r="E101" s="234" t="n"/>
      <c r="F101" s="234">
        <f>SUM(F99:F100)</f>
        <v/>
      </c>
      <c r="G101" s="234">
        <f>SUM(G99:G100)</f>
        <v/>
      </c>
      <c r="H101" s="234">
        <f>SUM(H99:H100)</f>
        <v/>
      </c>
      <c r="I101" s="234">
        <f>SUM(I99:I100)</f>
        <v/>
      </c>
      <c r="J101" s="234">
        <f>SUM(J99:J100)</f>
        <v/>
      </c>
    </row>
    <row r="102" ht="12.75" customHeight="1" s="148">
      <c r="B102" s="213" t="inlineStr">
        <is>
          <t>(-) Paydown</t>
        </is>
      </c>
      <c r="E102" s="227" t="n"/>
      <c r="F102" s="227">
        <f>+F120</f>
        <v/>
      </c>
      <c r="G102" s="227">
        <f>+G120</f>
        <v/>
      </c>
      <c r="H102" s="227">
        <f>+H120</f>
        <v/>
      </c>
      <c r="I102" s="227">
        <f>+I120</f>
        <v/>
      </c>
      <c r="J102" s="227">
        <f>+J120</f>
        <v/>
      </c>
    </row>
    <row r="103" ht="12.75" customHeight="1" s="148">
      <c r="B103" s="233" t="inlineStr">
        <is>
          <t>Cash Avail for Mezz Loan</t>
        </is>
      </c>
      <c r="C103" s="233" t="n"/>
      <c r="D103" s="233" t="n"/>
      <c r="E103" s="234" t="n"/>
      <c r="F103" s="234">
        <f>SUM(F101:F102)</f>
        <v/>
      </c>
      <c r="G103" s="234">
        <f>SUM(G101:G102)</f>
        <v/>
      </c>
      <c r="H103" s="234">
        <f>SUM(H101:H102)</f>
        <v/>
      </c>
      <c r="I103" s="234">
        <f>SUM(I101:I102)</f>
        <v/>
      </c>
      <c r="J103" s="234">
        <f>SUM(J101:J102)</f>
        <v/>
      </c>
    </row>
    <row r="104" ht="12.75" customHeight="1" s="148">
      <c r="B104" s="213" t="inlineStr">
        <is>
          <t>(-) Paydown</t>
        </is>
      </c>
      <c r="E104" s="227" t="n"/>
      <c r="F104" s="227">
        <f>+F131</f>
        <v/>
      </c>
      <c r="G104" s="227">
        <f>+G131</f>
        <v/>
      </c>
      <c r="H104" s="227">
        <f>+H131</f>
        <v/>
      </c>
      <c r="I104" s="227">
        <f>+I131</f>
        <v/>
      </c>
      <c r="J104" s="227">
        <f>+J131</f>
        <v/>
      </c>
    </row>
    <row r="105" ht="12.75" customHeight="1" s="148">
      <c r="B105" s="233" t="inlineStr">
        <is>
          <t>Excess Cash</t>
        </is>
      </c>
      <c r="C105" s="233" t="n"/>
      <c r="D105" s="233" t="n"/>
      <c r="E105" s="234" t="n"/>
      <c r="F105" s="234">
        <f>SUM(F103:F104)</f>
        <v/>
      </c>
      <c r="G105" s="234">
        <f>SUM(G103:G104)</f>
        <v/>
      </c>
      <c r="H105" s="234">
        <f>SUM(H103:H104)</f>
        <v/>
      </c>
      <c r="I105" s="234">
        <f>SUM(I103:I104)</f>
        <v/>
      </c>
      <c r="J105" s="234">
        <f>SUM(J103:J104)</f>
        <v/>
      </c>
    </row>
    <row r="106" ht="12.75" customHeight="1" s="148">
      <c r="E106" s="227" t="n"/>
      <c r="F106" s="227" t="n"/>
      <c r="G106" s="227" t="n"/>
      <c r="H106" s="227" t="n"/>
      <c r="I106" s="227" t="n"/>
      <c r="J106" s="227" t="n"/>
    </row>
    <row r="107" ht="12.75" customHeight="1" s="148">
      <c r="B107" s="245" t="inlineStr">
        <is>
          <t>Revolver</t>
        </is>
      </c>
      <c r="E107" s="227" t="n"/>
      <c r="F107" s="227" t="n"/>
      <c r="G107" s="227" t="n"/>
      <c r="H107" s="227" t="n"/>
      <c r="I107" s="227" t="n"/>
      <c r="J107" s="227" t="n"/>
    </row>
    <row r="108" ht="12.75" customHeight="1" s="148">
      <c r="B108" s="213" t="inlineStr">
        <is>
          <t>Beg</t>
        </is>
      </c>
      <c r="E108" s="227" t="n"/>
      <c r="F108" s="227">
        <f>+E111</f>
        <v/>
      </c>
      <c r="G108" s="227">
        <f>+F111</f>
        <v/>
      </c>
      <c r="H108" s="227">
        <f>+G111</f>
        <v/>
      </c>
      <c r="I108" s="227">
        <f>+H111</f>
        <v/>
      </c>
      <c r="J108" s="227">
        <f>+I111</f>
        <v/>
      </c>
    </row>
    <row r="109" ht="12.75" customHeight="1" s="148">
      <c r="B109" s="213" t="inlineStr">
        <is>
          <t>Drawdown</t>
        </is>
      </c>
      <c r="E109" s="227" t="n"/>
      <c r="F109" s="227">
        <f>+-MIN(F99,0)</f>
        <v/>
      </c>
      <c r="G109" s="227">
        <f>+-MIN(G99,0)</f>
        <v/>
      </c>
      <c r="H109" s="227">
        <f>+-MIN(H99,0)</f>
        <v/>
      </c>
      <c r="I109" s="227">
        <f>+-MIN(I99,0)</f>
        <v/>
      </c>
      <c r="J109" s="227">
        <f>+-MIN(J99,0)</f>
        <v/>
      </c>
    </row>
    <row r="110" ht="12.75" customHeight="1" s="148">
      <c r="B110" s="213" t="inlineStr">
        <is>
          <t>Paydown</t>
        </is>
      </c>
      <c r="E110" s="227" t="n"/>
      <c r="F110" s="227">
        <f>+IF(F108&gt;0,-MIN(F108,MAX(F99,0)),0)</f>
        <v/>
      </c>
      <c r="G110" s="227">
        <f>+IF(G108&gt;0,-MIN(G108,MAX(G99,0)),0)</f>
        <v/>
      </c>
      <c r="H110" s="227">
        <f>+IF(H108&gt;0,-MIN(H108,MAX(H99,0)),0)</f>
        <v/>
      </c>
      <c r="I110" s="227">
        <f>+IF(I108&gt;0,-MIN(I108,MAX(I99,0)),0)</f>
        <v/>
      </c>
      <c r="J110" s="227">
        <f>+IF(J108&gt;0,-MIN(J108,MAX(J99,0)),0)</f>
        <v/>
      </c>
    </row>
    <row r="111" ht="12.75" customHeight="1" s="148">
      <c r="B111" s="233" t="inlineStr">
        <is>
          <t>End</t>
        </is>
      </c>
      <c r="C111" s="233" t="n"/>
      <c r="D111" s="233" t="n"/>
      <c r="E111" s="252" t="n">
        <v>0</v>
      </c>
      <c r="F111" s="234">
        <f>SUM(F108:F110)</f>
        <v/>
      </c>
      <c r="G111" s="234">
        <f>SUM(G108:G110)</f>
        <v/>
      </c>
      <c r="H111" s="234">
        <f>SUM(H108:H110)</f>
        <v/>
      </c>
      <c r="I111" s="234">
        <f>SUM(I108:I110)</f>
        <v/>
      </c>
      <c r="J111" s="234">
        <f>SUM(J108:J110)</f>
        <v/>
      </c>
    </row>
    <row r="112" ht="12.75" customHeight="1" s="148">
      <c r="E112" s="227" t="n"/>
      <c r="F112" s="227" t="n"/>
      <c r="G112" s="227" t="n"/>
      <c r="H112" s="227" t="n"/>
      <c r="I112" s="227" t="n"/>
      <c r="J112" s="227" t="n"/>
    </row>
    <row r="113" ht="12.75" customHeight="1" s="148">
      <c r="B113" s="213" t="inlineStr">
        <is>
          <t>Avg</t>
        </is>
      </c>
      <c r="E113" s="227" t="n"/>
      <c r="F113" s="227">
        <f>+E111</f>
        <v/>
      </c>
      <c r="G113" s="227">
        <f>+F111</f>
        <v/>
      </c>
      <c r="H113" s="227">
        <f>+G111</f>
        <v/>
      </c>
      <c r="I113" s="227">
        <f>+H111</f>
        <v/>
      </c>
      <c r="J113" s="227">
        <f>+I111</f>
        <v/>
      </c>
    </row>
    <row r="114" ht="12.75" customHeight="1" s="148">
      <c r="B114" s="213" t="inlineStr">
        <is>
          <t>Interest Rate</t>
        </is>
      </c>
      <c r="F114" s="221" t="n">
        <v>0.03</v>
      </c>
      <c r="G114" s="244">
        <f>+F114</f>
        <v/>
      </c>
      <c r="H114" s="244">
        <f>+G114</f>
        <v/>
      </c>
      <c r="I114" s="244">
        <f>+H114</f>
        <v/>
      </c>
      <c r="J114" s="244">
        <f>+I114</f>
        <v/>
      </c>
    </row>
    <row r="115" ht="12.75" customHeight="1" s="148">
      <c r="B115" s="213" t="inlineStr">
        <is>
          <t>Int Expense</t>
        </is>
      </c>
      <c r="E115" s="227" t="n"/>
      <c r="F115" s="227">
        <f>+-F113*F114</f>
        <v/>
      </c>
      <c r="G115" s="227">
        <f>+-G113*G114</f>
        <v/>
      </c>
      <c r="H115" s="227">
        <f>+-H113*H114</f>
        <v/>
      </c>
      <c r="I115" s="227">
        <f>+-I113*I114</f>
        <v/>
      </c>
      <c r="J115" s="227">
        <f>+-J113*J114</f>
        <v/>
      </c>
    </row>
    <row r="116" ht="12.75" customHeight="1" s="148">
      <c r="E116" s="227" t="n"/>
      <c r="F116" s="227" t="n"/>
      <c r="G116" s="227" t="n"/>
      <c r="H116" s="227" t="n"/>
      <c r="I116" s="227" t="n"/>
      <c r="J116" s="227" t="n"/>
    </row>
    <row r="117" ht="12.75" customHeight="1" s="148">
      <c r="B117" s="245" t="inlineStr">
        <is>
          <t>Term Loan</t>
        </is>
      </c>
      <c r="E117" s="227" t="n"/>
      <c r="F117" s="227" t="n"/>
      <c r="G117" s="227" t="n"/>
      <c r="H117" s="227" t="n"/>
      <c r="I117" s="227" t="n"/>
      <c r="J117" s="227" t="n"/>
    </row>
    <row r="118" ht="12.75" customHeight="1" s="148">
      <c r="B118" s="213" t="inlineStr">
        <is>
          <t>Beg</t>
        </is>
      </c>
      <c r="E118" s="227" t="n"/>
      <c r="F118" s="227">
        <f>+E121</f>
        <v/>
      </c>
      <c r="G118" s="227">
        <f>+F121</f>
        <v/>
      </c>
      <c r="H118" s="227">
        <f>+G121</f>
        <v/>
      </c>
      <c r="I118" s="227">
        <f>+H121</f>
        <v/>
      </c>
      <c r="J118" s="227">
        <f>+I121</f>
        <v/>
      </c>
    </row>
    <row r="119" ht="12.75" customHeight="1" s="148">
      <c r="B119" s="213" t="inlineStr">
        <is>
          <t>Mand. Amort</t>
        </is>
      </c>
      <c r="E119" s="227" t="n"/>
      <c r="F119" s="253">
        <f>-IF($E$121+F118*F126&gt;0,$E$121*F126,0)</f>
        <v/>
      </c>
      <c r="G119" s="253">
        <f>-IF($E$121+G118*G126&gt;0,$E$121*G126,0)</f>
        <v/>
      </c>
      <c r="H119" s="253">
        <f>-IF($E$121+H118*H126&gt;0,$E$121*H126,0)</f>
        <v/>
      </c>
      <c r="I119" s="253">
        <f>-IF($E$121+I118*I126&gt;0,$E$121*I126,0)</f>
        <v/>
      </c>
      <c r="J119" s="253">
        <f>-IF($E$121+J118*J126&gt;0,$E$121*J126,0)</f>
        <v/>
      </c>
    </row>
    <row r="120" ht="12.75" customHeight="1" s="148">
      <c r="B120" s="213" t="inlineStr">
        <is>
          <t>Paydown</t>
        </is>
      </c>
      <c r="E120" s="227" t="n"/>
      <c r="F120" s="227">
        <f>+-MIN(SUM(F118:F119),MAX(F101,0))</f>
        <v/>
      </c>
      <c r="G120" s="227">
        <f>+-MIN(SUM(G118:G119),MAX(G101,0))</f>
        <v/>
      </c>
      <c r="H120" s="227">
        <f>+-MIN(SUM(H118:H119),MAX(H101,0))</f>
        <v/>
      </c>
      <c r="I120" s="227">
        <f>+-MIN(SUM(I118:I119),MAX(I101,0))</f>
        <v/>
      </c>
      <c r="J120" s="227">
        <f>+-MIN(SUM(J118:J119),MAX(J101,0))</f>
        <v/>
      </c>
    </row>
    <row r="121" ht="12.75" customHeight="1" s="148">
      <c r="B121" s="233" t="inlineStr">
        <is>
          <t>End</t>
        </is>
      </c>
      <c r="C121" s="233" t="n"/>
      <c r="D121" s="233" t="n"/>
      <c r="E121" s="252">
        <f>+E11</f>
        <v/>
      </c>
      <c r="F121" s="234">
        <f>SUM(F118:F120)</f>
        <v/>
      </c>
      <c r="G121" s="234">
        <f>SUM(G118:G120)</f>
        <v/>
      </c>
      <c r="H121" s="234">
        <f>SUM(H118:H120)</f>
        <v/>
      </c>
      <c r="I121" s="234">
        <f>SUM(I118:I120)</f>
        <v/>
      </c>
      <c r="J121" s="234">
        <f>SUM(J118:J120)</f>
        <v/>
      </c>
    </row>
    <row r="122" ht="12.75" customHeight="1" s="148">
      <c r="E122" s="227" t="n"/>
      <c r="F122" s="227" t="n"/>
      <c r="G122" s="227" t="n"/>
      <c r="H122" s="227" t="n"/>
      <c r="I122" s="227" t="n"/>
      <c r="J122" s="227" t="n"/>
    </row>
    <row r="123" ht="12.75" customHeight="1" s="148">
      <c r="B123" s="213" t="inlineStr">
        <is>
          <t>Avg</t>
        </is>
      </c>
      <c r="E123" s="227" t="n"/>
      <c r="F123" s="227">
        <f>+E121</f>
        <v/>
      </c>
      <c r="G123" s="227">
        <f>+F121</f>
        <v/>
      </c>
      <c r="H123" s="227">
        <f>+G121</f>
        <v/>
      </c>
      <c r="I123" s="227">
        <f>+H121</f>
        <v/>
      </c>
      <c r="J123" s="227">
        <f>+I121</f>
        <v/>
      </c>
    </row>
    <row r="124" ht="12.75" customHeight="1" s="148">
      <c r="B124" s="213" t="inlineStr">
        <is>
          <t>Interest Rate</t>
        </is>
      </c>
      <c r="F124" s="221" t="n">
        <v>0.0287</v>
      </c>
      <c r="G124" s="244">
        <f>+F124</f>
        <v/>
      </c>
      <c r="H124" s="244">
        <f>+G124</f>
        <v/>
      </c>
      <c r="I124" s="244">
        <f>+H124</f>
        <v/>
      </c>
      <c r="J124" s="244">
        <f>+I124</f>
        <v/>
      </c>
    </row>
    <row r="125" ht="12.75" customHeight="1" s="148">
      <c r="B125" s="213" t="inlineStr">
        <is>
          <t>Int Expense</t>
        </is>
      </c>
      <c r="E125" s="227" t="n"/>
      <c r="F125" s="227">
        <f>+-F123*F124</f>
        <v/>
      </c>
      <c r="G125" s="227">
        <f>+-G123*G124</f>
        <v/>
      </c>
      <c r="H125" s="227">
        <f>+-H123*H124</f>
        <v/>
      </c>
      <c r="I125" s="227">
        <f>+-I123*I124</f>
        <v/>
      </c>
      <c r="J125" s="227">
        <f>+-J123*J124</f>
        <v/>
      </c>
    </row>
    <row r="126" ht="12.75" customHeight="1" s="148">
      <c r="B126" s="213" t="inlineStr">
        <is>
          <t>Mand. Amort</t>
        </is>
      </c>
      <c r="F126" s="221" t="n">
        <v>0.01</v>
      </c>
      <c r="G126" s="244">
        <f>+F126</f>
        <v/>
      </c>
      <c r="H126" s="244">
        <f>+G126</f>
        <v/>
      </c>
      <c r="I126" s="244">
        <f>+H126</f>
        <v/>
      </c>
      <c r="J126" s="244">
        <f>+I126</f>
        <v/>
      </c>
    </row>
    <row r="128" ht="12.75" customHeight="1" s="148">
      <c r="B128" s="245" t="inlineStr">
        <is>
          <t>Mezz Loan</t>
        </is>
      </c>
    </row>
    <row r="129" ht="12.75" customHeight="1" s="148">
      <c r="B129" s="213" t="inlineStr">
        <is>
          <t>Beg</t>
        </is>
      </c>
      <c r="E129" s="227" t="n"/>
      <c r="F129" s="227">
        <f>+E132</f>
        <v/>
      </c>
      <c r="G129" s="227">
        <f>+F132</f>
        <v/>
      </c>
      <c r="H129" s="227">
        <f>+G132</f>
        <v/>
      </c>
      <c r="I129" s="227">
        <f>+H132</f>
        <v/>
      </c>
      <c r="J129" s="227">
        <f>+I132</f>
        <v/>
      </c>
    </row>
    <row r="130" ht="12.75" customHeight="1" s="148">
      <c r="B130" s="213" t="inlineStr">
        <is>
          <t>Accretion</t>
        </is>
      </c>
      <c r="E130" s="227" t="n"/>
      <c r="F130" s="227">
        <f>+-F139</f>
        <v/>
      </c>
      <c r="G130" s="227">
        <f>+-G139</f>
        <v/>
      </c>
      <c r="H130" s="227">
        <f>+-H139</f>
        <v/>
      </c>
      <c r="I130" s="227">
        <f>+-I139</f>
        <v/>
      </c>
      <c r="J130" s="227">
        <f>+-J139</f>
        <v/>
      </c>
    </row>
    <row r="131" ht="12.75" customHeight="1" s="148">
      <c r="B131" s="213" t="inlineStr">
        <is>
          <t>Paydown</t>
        </is>
      </c>
      <c r="E131" s="227" t="n"/>
      <c r="F131" s="227">
        <f>+IF(F103&gt;0,-MIN(SUM(F129:F130),F103),0)</f>
        <v/>
      </c>
      <c r="G131" s="227">
        <f>+IF(G103&gt;0,-MIN(SUM(G129:G130),G103),0)</f>
        <v/>
      </c>
      <c r="H131" s="227">
        <f>+IF(H103&gt;0,-MIN(SUM(H129:H130),H103),0)</f>
        <v/>
      </c>
      <c r="I131" s="227">
        <f>+IF(I103&gt;0,-MIN(SUM(I129:I130),I103),0)</f>
        <v/>
      </c>
      <c r="J131" s="227">
        <f>+IF(J103&gt;0,-MIN(SUM(J129:J130),J103),0)</f>
        <v/>
      </c>
    </row>
    <row r="132" ht="12.75" customHeight="1" s="148">
      <c r="B132" s="233" t="inlineStr">
        <is>
          <t>End</t>
        </is>
      </c>
      <c r="C132" s="233" t="n"/>
      <c r="D132" s="233" t="n"/>
      <c r="E132" s="252">
        <f>+E12</f>
        <v/>
      </c>
      <c r="F132" s="234">
        <f>SUM(F129:F131)</f>
        <v/>
      </c>
      <c r="G132" s="234">
        <f>SUM(G129:G131)</f>
        <v/>
      </c>
      <c r="H132" s="234">
        <f>SUM(H129:H131)</f>
        <v/>
      </c>
      <c r="I132" s="234">
        <f>SUM(I129:I131)</f>
        <v/>
      </c>
      <c r="J132" s="234">
        <f>SUM(J129:J131)</f>
        <v/>
      </c>
    </row>
    <row r="133" ht="12.75" customHeight="1" s="148">
      <c r="E133" s="227" t="n"/>
      <c r="F133" s="227" t="n"/>
      <c r="G133" s="227" t="n"/>
      <c r="H133" s="227" t="n"/>
      <c r="I133" s="227" t="n"/>
      <c r="J133" s="227" t="n"/>
    </row>
    <row r="134" ht="12.75" customHeight="1" s="148">
      <c r="B134" s="213" t="inlineStr">
        <is>
          <t>Avg</t>
        </is>
      </c>
      <c r="E134" s="227" t="n"/>
      <c r="F134" s="227">
        <f>+E132</f>
        <v/>
      </c>
      <c r="G134" s="227">
        <f>+F132</f>
        <v/>
      </c>
      <c r="H134" s="227">
        <f>+G132</f>
        <v/>
      </c>
      <c r="I134" s="227">
        <f>+H132</f>
        <v/>
      </c>
      <c r="J134" s="227">
        <f>+I132</f>
        <v/>
      </c>
    </row>
    <row r="135" ht="12.75" customHeight="1" s="148">
      <c r="B135" s="213" t="inlineStr">
        <is>
          <t>Interest Rate</t>
        </is>
      </c>
      <c r="F135" s="221" t="n">
        <v>0</v>
      </c>
      <c r="G135" s="244">
        <f>+F135</f>
        <v/>
      </c>
      <c r="H135" s="244">
        <f>+G135</f>
        <v/>
      </c>
      <c r="I135" s="244">
        <f>+H135</f>
        <v/>
      </c>
      <c r="J135" s="244">
        <f>+I135</f>
        <v/>
      </c>
    </row>
    <row r="136" ht="12.75" customHeight="1" s="148">
      <c r="B136" s="213" t="inlineStr">
        <is>
          <t>Int Expense</t>
        </is>
      </c>
      <c r="E136" s="227" t="n"/>
      <c r="F136" s="227">
        <f>+-F134*F135</f>
        <v/>
      </c>
      <c r="G136" s="227">
        <f>+-G134*G135</f>
        <v/>
      </c>
      <c r="H136" s="227">
        <f>+-H134*H135</f>
        <v/>
      </c>
      <c r="I136" s="227">
        <f>+-I134*I135</f>
        <v/>
      </c>
      <c r="J136" s="227">
        <f>+-J134*J135</f>
        <v/>
      </c>
    </row>
    <row r="138" ht="12.75" customHeight="1" s="148">
      <c r="B138" s="213" t="inlineStr">
        <is>
          <t>PIK Rate</t>
        </is>
      </c>
      <c r="F138" s="221" t="n">
        <v>0</v>
      </c>
      <c r="G138" s="244">
        <f>+F138</f>
        <v/>
      </c>
      <c r="H138" s="244">
        <f>+G138</f>
        <v/>
      </c>
      <c r="I138" s="244">
        <f>+H138</f>
        <v/>
      </c>
      <c r="J138" s="244">
        <f>+I138</f>
        <v/>
      </c>
    </row>
    <row r="139" ht="12.75" customHeight="1" s="148">
      <c r="B139" s="213" t="inlineStr">
        <is>
          <t>PIK Expense</t>
        </is>
      </c>
      <c r="E139" s="227" t="n"/>
      <c r="F139" s="227">
        <f>+E132*-F138</f>
        <v/>
      </c>
      <c r="G139" s="227">
        <f>+F132*-G138</f>
        <v/>
      </c>
      <c r="H139" s="227">
        <f>+G132*-H138</f>
        <v/>
      </c>
      <c r="I139" s="227">
        <f>+H132*-I138</f>
        <v/>
      </c>
      <c r="J139" s="227">
        <f>+I132*-J138</f>
        <v/>
      </c>
    </row>
    <row r="140" ht="12.75" customHeight="1" s="148">
      <c r="E140" s="227" t="n"/>
      <c r="F140" s="227" t="n"/>
      <c r="G140" s="227" t="n"/>
      <c r="H140" s="227" t="n"/>
      <c r="I140" s="227" t="n"/>
      <c r="J140" s="227" t="n"/>
    </row>
    <row r="141" ht="12.75" customHeight="1" s="148">
      <c r="B141" s="245" t="inlineStr">
        <is>
          <t>Cash</t>
        </is>
      </c>
      <c r="E141" s="227" t="n"/>
      <c r="F141" s="227" t="n"/>
      <c r="G141" s="227" t="n"/>
      <c r="H141" s="227" t="n"/>
      <c r="I141" s="227" t="n"/>
      <c r="J141" s="227" t="n"/>
    </row>
    <row r="142" ht="12.75" customHeight="1" s="148">
      <c r="B142" s="213" t="inlineStr">
        <is>
          <t>Beg</t>
        </is>
      </c>
      <c r="E142" s="227" t="n"/>
      <c r="F142" s="227">
        <f>+E144</f>
        <v/>
      </c>
      <c r="G142" s="227">
        <f>+F144</f>
        <v/>
      </c>
      <c r="H142" s="227">
        <f>+G144</f>
        <v/>
      </c>
      <c r="I142" s="227">
        <f>+H144</f>
        <v/>
      </c>
      <c r="J142" s="227">
        <f>+I144</f>
        <v/>
      </c>
    </row>
    <row r="143" ht="12.75" customHeight="1" s="148">
      <c r="B143" s="213" t="inlineStr">
        <is>
          <t>Change</t>
        </is>
      </c>
      <c r="E143" s="227" t="n"/>
      <c r="F143" s="227">
        <f>+F92</f>
        <v/>
      </c>
      <c r="G143" s="227">
        <f>+G92</f>
        <v/>
      </c>
      <c r="H143" s="227">
        <f>+H92</f>
        <v/>
      </c>
      <c r="I143" s="227">
        <f>+I92</f>
        <v/>
      </c>
      <c r="J143" s="227">
        <f>+J92</f>
        <v/>
      </c>
    </row>
    <row r="144" ht="12.75" customHeight="1" s="148">
      <c r="B144" s="233" t="inlineStr">
        <is>
          <t>End</t>
        </is>
      </c>
      <c r="C144" s="233" t="n"/>
      <c r="D144" s="233" t="n"/>
      <c r="E144" s="252" t="n">
        <v>0</v>
      </c>
      <c r="F144" s="234">
        <f>SUM(F142:F143)</f>
        <v/>
      </c>
      <c r="G144" s="234">
        <f>SUM(G142:G143)</f>
        <v/>
      </c>
      <c r="H144" s="234">
        <f>SUM(H142:H143)</f>
        <v/>
      </c>
      <c r="I144" s="234">
        <f>SUM(I142:I143)</f>
        <v/>
      </c>
      <c r="J144" s="234">
        <f>SUM(J142:J143)</f>
        <v/>
      </c>
    </row>
    <row r="145" ht="12.75" customHeight="1" s="148">
      <c r="E145" s="227" t="n"/>
      <c r="F145" s="227" t="n"/>
      <c r="G145" s="227" t="n"/>
      <c r="H145" s="227" t="n"/>
      <c r="I145" s="227" t="n"/>
      <c r="J145" s="227" t="n"/>
    </row>
    <row r="146" ht="12.75" customHeight="1" s="148">
      <c r="B146" s="213" t="inlineStr">
        <is>
          <t>Avg</t>
        </is>
      </c>
      <c r="E146" s="227" t="n"/>
      <c r="F146" s="227">
        <f>+E144</f>
        <v/>
      </c>
      <c r="G146" s="227">
        <f>+F144</f>
        <v/>
      </c>
      <c r="H146" s="227">
        <f>+G144</f>
        <v/>
      </c>
      <c r="I146" s="227">
        <f>+H144</f>
        <v/>
      </c>
      <c r="J146" s="227">
        <f>+I144</f>
        <v/>
      </c>
    </row>
    <row r="147" ht="12.75" customHeight="1" s="148">
      <c r="B147" s="213" t="inlineStr">
        <is>
          <t>Interest Rate</t>
        </is>
      </c>
      <c r="F147" s="221" t="n">
        <v>0.01</v>
      </c>
      <c r="G147" s="244">
        <f>+F147</f>
        <v/>
      </c>
      <c r="H147" s="244">
        <f>+G147</f>
        <v/>
      </c>
      <c r="I147" s="244">
        <f>+H147</f>
        <v/>
      </c>
      <c r="J147" s="244">
        <f>+I147</f>
        <v/>
      </c>
    </row>
    <row r="148" ht="12.75" customHeight="1" s="148">
      <c r="B148" s="213" t="inlineStr">
        <is>
          <t>Int Income</t>
        </is>
      </c>
      <c r="E148" s="227" t="n"/>
      <c r="F148" s="227">
        <f>+F146*F147</f>
        <v/>
      </c>
      <c r="G148" s="227">
        <f>+G146*G147</f>
        <v/>
      </c>
      <c r="H148" s="227">
        <f>+H146*H147</f>
        <v/>
      </c>
      <c r="I148" s="227">
        <f>+I146*I147</f>
        <v/>
      </c>
      <c r="J148" s="227">
        <f>+J146*J147</f>
        <v/>
      </c>
    </row>
    <row r="149" ht="12.75" customHeight="1" s="148">
      <c r="E149" s="227" t="n"/>
      <c r="F149" s="227" t="n"/>
      <c r="G149" s="227" t="n"/>
      <c r="H149" s="227" t="n"/>
      <c r="I149" s="227" t="n"/>
      <c r="J149" s="227" t="n"/>
    </row>
    <row r="150" ht="12.75" customHeight="1" s="148">
      <c r="B150" s="213" t="inlineStr">
        <is>
          <t>Total Interest Expense</t>
        </is>
      </c>
      <c r="E150" s="227" t="n"/>
      <c r="F150" s="227">
        <f>+F115+F125+F136+F139</f>
        <v/>
      </c>
      <c r="G150" s="227">
        <f>+G115+G125+G136+G139</f>
        <v/>
      </c>
      <c r="H150" s="227">
        <f>+H115+H125+H136+H139</f>
        <v/>
      </c>
      <c r="I150" s="227">
        <f>+I115+I125+I136+I139</f>
        <v/>
      </c>
      <c r="J150" s="227">
        <f>+J115+J125+J136+J139</f>
        <v/>
      </c>
    </row>
    <row r="151" ht="12.75" customHeight="1" s="148">
      <c r="F151" s="254" t="n"/>
      <c r="G151" s="254" t="n"/>
      <c r="H151" s="254" t="n"/>
      <c r="I151" s="254" t="n"/>
      <c r="J151" s="254" t="n"/>
    </row>
    <row r="152" ht="12.75" customHeight="1" s="148">
      <c r="A152" s="213" t="inlineStr">
        <is>
          <t>x</t>
        </is>
      </c>
      <c r="B152" s="237" t="inlineStr">
        <is>
          <t>Returns</t>
        </is>
      </c>
      <c r="C152" s="237" t="n"/>
      <c r="D152" s="237" t="n"/>
      <c r="E152" s="237" t="n">
        <v>2013</v>
      </c>
      <c r="F152" s="237">
        <f>E152+1</f>
        <v/>
      </c>
      <c r="G152" s="237">
        <f>F152+1</f>
        <v/>
      </c>
      <c r="H152" s="237">
        <f>G152+1</f>
        <v/>
      </c>
      <c r="I152" s="237">
        <f>H152+1</f>
        <v/>
      </c>
      <c r="J152" s="237">
        <f>I152+1</f>
        <v/>
      </c>
    </row>
    <row r="153" ht="12.75" customHeight="1" s="148">
      <c r="B153" s="213" t="inlineStr">
        <is>
          <t>EBITDA</t>
        </is>
      </c>
      <c r="E153" s="227" t="n"/>
      <c r="F153" s="227">
        <f>+F31</f>
        <v/>
      </c>
      <c r="G153" s="227">
        <f>+G31</f>
        <v/>
      </c>
      <c r="H153" s="227">
        <f>+H31</f>
        <v/>
      </c>
      <c r="I153" s="227">
        <f>+I31</f>
        <v/>
      </c>
      <c r="J153" s="227">
        <f>+J31</f>
        <v/>
      </c>
    </row>
    <row r="154" ht="12.75" customHeight="1" s="148">
      <c r="B154" s="213" t="inlineStr">
        <is>
          <t>Exit Multiple</t>
        </is>
      </c>
      <c r="F154" s="255">
        <f>+$E$4</f>
        <v/>
      </c>
      <c r="G154" s="255">
        <f>+$E$4</f>
        <v/>
      </c>
      <c r="H154" s="255">
        <f>+$E$4</f>
        <v/>
      </c>
      <c r="I154" s="255">
        <f>+$E$4</f>
        <v/>
      </c>
      <c r="J154" s="255">
        <f>+$E$4</f>
        <v/>
      </c>
    </row>
    <row r="155" ht="12.75" customHeight="1" s="148">
      <c r="B155" s="233" t="inlineStr">
        <is>
          <t>TEV</t>
        </is>
      </c>
      <c r="C155" s="233" t="n"/>
      <c r="D155" s="233" t="n"/>
      <c r="E155" s="234" t="n"/>
      <c r="F155" s="234">
        <f>+F153*F154</f>
        <v/>
      </c>
      <c r="G155" s="234">
        <f>+G153*G154</f>
        <v/>
      </c>
      <c r="H155" s="234">
        <f>+H153*H154</f>
        <v/>
      </c>
      <c r="I155" s="234">
        <f>+I153*I154</f>
        <v/>
      </c>
      <c r="J155" s="234">
        <f>+J153*J154</f>
        <v/>
      </c>
    </row>
    <row r="156" ht="12.75" customHeight="1" s="148">
      <c r="B156" s="213" t="inlineStr">
        <is>
          <t>(-) Net Debt</t>
        </is>
      </c>
      <c r="E156" s="227" t="n"/>
      <c r="F156" s="227">
        <f>+-F67+F62</f>
        <v/>
      </c>
      <c r="G156" s="227">
        <f>+-G67+G62</f>
        <v/>
      </c>
      <c r="H156" s="227">
        <f>+-H67+H62</f>
        <v/>
      </c>
      <c r="I156" s="227">
        <f>+-I67+I62</f>
        <v/>
      </c>
      <c r="J156" s="227">
        <f>+-J67+J62</f>
        <v/>
      </c>
    </row>
    <row r="157" ht="12.75" customHeight="1" s="148">
      <c r="B157" s="233" t="inlineStr">
        <is>
          <t>Total Equity Value</t>
        </is>
      </c>
      <c r="C157" s="233" t="n"/>
      <c r="D157" s="233" t="n"/>
      <c r="E157" s="234" t="n"/>
      <c r="F157" s="234">
        <f>+SUM(F155:F156)</f>
        <v/>
      </c>
      <c r="G157" s="234">
        <f>+SUM(G155:G156)</f>
        <v/>
      </c>
      <c r="H157" s="234">
        <f>+SUM(H155:H156)</f>
        <v/>
      </c>
      <c r="I157" s="234">
        <f>+SUM(I155:I156)</f>
        <v/>
      </c>
      <c r="J157" s="234">
        <f>+SUM(J155:J156)</f>
        <v/>
      </c>
    </row>
    <row r="158" ht="12.75" customHeight="1" s="148">
      <c r="B158" s="213" t="inlineStr">
        <is>
          <t>(-) Roll</t>
        </is>
      </c>
      <c r="E158" s="227" t="n"/>
      <c r="F158" s="227">
        <f>+-F157*$K$158</f>
        <v/>
      </c>
      <c r="G158" s="227">
        <f>+-G157*$K$158</f>
        <v/>
      </c>
      <c r="H158" s="227">
        <f>+-H157*$K$158</f>
        <v/>
      </c>
      <c r="I158" s="227">
        <f>+-I157*$K$158</f>
        <v/>
      </c>
      <c r="J158" s="227">
        <f>+-J157*$K$158</f>
        <v/>
      </c>
      <c r="K158" s="256">
        <f>E13/SUM(E13:E14)</f>
        <v/>
      </c>
    </row>
    <row r="159" ht="12.75" customHeight="1" s="148">
      <c r="B159" s="233" t="inlineStr">
        <is>
          <t>Sponsor Equity Value</t>
        </is>
      </c>
      <c r="C159" s="233" t="n"/>
      <c r="D159" s="233" t="n"/>
      <c r="E159" s="234" t="n"/>
      <c r="F159" s="234">
        <f>SUM(F157:F158)</f>
        <v/>
      </c>
      <c r="G159" s="234">
        <f>SUM(G157:G158)</f>
        <v/>
      </c>
      <c r="H159" s="234">
        <f>SUM(H157:H158)</f>
        <v/>
      </c>
      <c r="I159" s="234">
        <f>SUM(I157:I158)</f>
        <v/>
      </c>
      <c r="J159" s="234">
        <f>SUM(J157:J158)</f>
        <v/>
      </c>
    </row>
    <row r="160" ht="12.75" customHeight="1" s="148">
      <c r="E160" s="227" t="n"/>
      <c r="F160" s="227" t="n"/>
      <c r="G160" s="227" t="n"/>
      <c r="H160" s="227" t="n"/>
      <c r="I160" s="227" t="n"/>
      <c r="J160" s="227" t="n"/>
    </row>
    <row r="161" ht="12.75" customHeight="1" s="148">
      <c r="B161" s="257" t="n">
        <v>40732</v>
      </c>
      <c r="E161" s="227" t="n"/>
      <c r="F161" s="227">
        <f>+-$E$14</f>
        <v/>
      </c>
      <c r="G161" s="227">
        <f>+-$E$14</f>
        <v/>
      </c>
      <c r="H161" s="227">
        <f>+-$E$14</f>
        <v/>
      </c>
      <c r="I161" s="227">
        <f>+-$E$14</f>
        <v/>
      </c>
      <c r="J161" s="227">
        <f>+-$E$14</f>
        <v/>
      </c>
    </row>
    <row r="162" ht="12.75" customHeight="1" s="148">
      <c r="B162" s="258">
        <f>DATE(YEAR(B161)+1,MONTH(B161),DAY(B161))</f>
        <v/>
      </c>
      <c r="E162" s="227" t="n"/>
      <c r="F162" s="227">
        <f>+F159</f>
        <v/>
      </c>
      <c r="G162" s="227" t="n"/>
      <c r="H162" s="227" t="n"/>
      <c r="I162" s="227" t="n"/>
      <c r="J162" s="227" t="n"/>
    </row>
    <row r="163" ht="12.75" customHeight="1" s="148">
      <c r="B163" s="258">
        <f>DATE(YEAR(B162)+1,MONTH(B162),DAY(B162))</f>
        <v/>
      </c>
      <c r="E163" s="227" t="n"/>
      <c r="F163" s="227" t="n"/>
      <c r="G163" s="227">
        <f>+G159</f>
        <v/>
      </c>
      <c r="H163" s="227" t="n"/>
      <c r="I163" s="227" t="n"/>
      <c r="J163" s="227" t="n"/>
    </row>
    <row r="164" ht="12.75" customHeight="1" s="148">
      <c r="B164" s="258">
        <f>DATE(YEAR(B163)+1,MONTH(B163),DAY(B163))</f>
        <v/>
      </c>
      <c r="E164" s="227" t="n"/>
      <c r="F164" s="227" t="n"/>
      <c r="G164" s="227" t="n"/>
      <c r="H164" s="227">
        <f>+H159</f>
        <v/>
      </c>
      <c r="I164" s="227" t="n"/>
      <c r="J164" s="227" t="n"/>
    </row>
    <row r="165" ht="12.75" customHeight="1" s="148">
      <c r="B165" s="258">
        <f>DATE(YEAR(B164)+1,MONTH(B164),DAY(B164))</f>
        <v/>
      </c>
      <c r="E165" s="227" t="n"/>
      <c r="F165" s="227" t="n"/>
      <c r="G165" s="227" t="n"/>
      <c r="H165" s="227" t="n"/>
      <c r="I165" s="227">
        <f>+I159</f>
        <v/>
      </c>
      <c r="J165" s="227" t="n"/>
    </row>
    <row r="166" ht="12.75" customHeight="1" s="148">
      <c r="B166" s="258">
        <f>DATE(YEAR(B165)+1,MONTH(B165),DAY(B165))</f>
        <v/>
      </c>
      <c r="E166" s="227" t="n"/>
      <c r="F166" s="227" t="n"/>
      <c r="G166" s="227" t="n"/>
      <c r="H166" s="227" t="n"/>
      <c r="I166" s="227" t="n"/>
      <c r="J166" s="227">
        <f>+J159</f>
        <v/>
      </c>
    </row>
    <row r="167" ht="12.75" customHeight="1" s="148">
      <c r="B167" s="233" t="inlineStr">
        <is>
          <t>IRR</t>
        </is>
      </c>
      <c r="C167" s="233" t="n"/>
      <c r="D167" s="233" t="n"/>
      <c r="E167" s="233" t="n"/>
      <c r="F167" s="259">
        <f>IFERROR(XIRR(F161:F166,$B$161:$B$166),"n/m")</f>
        <v/>
      </c>
      <c r="G167" s="259">
        <f>IFERROR(XIRR(G161:G166,$B$161:$B$166),"n/m")</f>
        <v/>
      </c>
      <c r="H167" s="259">
        <f>IFERROR(XIRR(H161:H166,$B$161:$B$166),"n/m")</f>
        <v/>
      </c>
      <c r="I167" s="259">
        <f>IFERROR(XIRR(I161:I166,$B$161:$B$166),"n/m")</f>
        <v/>
      </c>
      <c r="J167" s="259">
        <f>IFERROR(XIRR(J161:J166,$B$161:$B$166),"n/m")</f>
        <v/>
      </c>
    </row>
    <row r="168" ht="12.75" customHeight="1" s="148">
      <c r="B168" s="213" t="inlineStr">
        <is>
          <t>Money Multiple</t>
        </is>
      </c>
      <c r="F168" s="255">
        <f>+F162/F161*-1</f>
        <v/>
      </c>
      <c r="G168" s="255">
        <f>+G163/G161*-1</f>
        <v/>
      </c>
      <c r="H168" s="255">
        <f>+H164/H161*-1</f>
        <v/>
      </c>
      <c r="I168" s="255">
        <f>+I165/I161*-1</f>
        <v/>
      </c>
      <c r="J168" s="255">
        <f>+J166/J161*-1</f>
        <v/>
      </c>
    </row>
    <row r="169" ht="12.75" customHeight="1" s="148">
      <c r="F169" s="254" t="n"/>
      <c r="G169" s="254" t="n"/>
      <c r="H169" s="254" t="n"/>
      <c r="I169" s="254" t="n"/>
      <c r="J169" s="254" t="n"/>
    </row>
    <row r="170" ht="12.75" customHeight="1" s="148">
      <c r="A170" s="213" t="inlineStr">
        <is>
          <t>q</t>
        </is>
      </c>
      <c r="B170" s="237" t="inlineStr">
        <is>
          <t>Sensitivity</t>
        </is>
      </c>
      <c r="C170" s="237" t="n"/>
      <c r="D170" s="237" t="n"/>
      <c r="E170" s="237" t="n"/>
      <c r="F170" s="237" t="n"/>
      <c r="G170" s="237" t="n"/>
      <c r="H170" s="237" t="n"/>
      <c r="I170" s="237" t="n"/>
      <c r="J170" s="237" t="n"/>
    </row>
    <row r="171" ht="12.75" customHeight="1" s="148">
      <c r="F171" s="254" t="n"/>
      <c r="G171" s="254" t="n"/>
      <c r="H171" s="254" t="n"/>
      <c r="I171" s="254" t="n"/>
      <c r="J171" s="254" t="n"/>
    </row>
    <row r="172" ht="12.75" customHeight="1" s="148">
      <c r="C172" s="213" t="inlineStr">
        <is>
          <t>IRR: entry multiple (down) vs exit multiple (across). Closed form on year-5 EBITDA, holding year-5 net debt and rollover constant.</t>
        </is>
      </c>
      <c r="D172" s="260" t="inlineStr">
        <is>
          <t>Exit Multiple</t>
        </is>
      </c>
      <c r="J172" s="254" t="n"/>
    </row>
    <row r="173" ht="12.75" customHeight="1" s="148">
      <c r="C173" s="261">
        <f>+J167</f>
        <v/>
      </c>
      <c r="D173" s="262" t="n">
        <v>8</v>
      </c>
      <c r="E173" s="262">
        <f>D173+1</f>
        <v/>
      </c>
      <c r="F173" s="262">
        <f>E173+1</f>
        <v/>
      </c>
      <c r="G173" s="262">
        <f>F173+1</f>
        <v/>
      </c>
      <c r="H173" s="262">
        <f>G173+1</f>
        <v/>
      </c>
      <c r="J173" s="254" t="n"/>
    </row>
    <row r="174" ht="12.75" customHeight="1" s="148">
      <c r="C174" s="248" t="n">
        <v>11</v>
      </c>
      <c r="D174" s="263">
        <f>IFERROR(((($J$153*D$173+$J$156)*(1-$K$158))/($E$14+(($C174-$E$3)*$E$5)))^(1/5)-1,"n/m")</f>
        <v/>
      </c>
      <c r="E174" s="259">
        <f>IFERROR(((($J$153*E$173+$J$156)*(1-$K$158))/($E$14+(($C174-$E$3)*$E$5)))^(1/5)-1,"n/m")</f>
        <v/>
      </c>
      <c r="F174" s="259">
        <f>IFERROR(((($J$153*F$173+$J$156)*(1-$K$158))/($E$14+(($C174-$E$3)*$E$5)))^(1/5)-1,"n/m")</f>
        <v/>
      </c>
      <c r="G174" s="259">
        <f>IFERROR(((($J$153*G$173+$J$156)*(1-$K$158))/($E$14+(($C174-$E$3)*$E$5)))^(1/5)-1,"n/m")</f>
        <v/>
      </c>
      <c r="H174" s="264">
        <f>IFERROR(((($J$153*H$173+$J$156)*(1-$K$158))/($E$14+(($C174-$E$3)*$E$5)))^(1/5)-1,"n/m")</f>
        <v/>
      </c>
    </row>
    <row r="175" ht="12.75" customHeight="1" s="148">
      <c r="B175" s="213" t="inlineStr">
        <is>
          <t>Entry</t>
        </is>
      </c>
      <c r="C175" s="248" t="n">
        <v>12</v>
      </c>
      <c r="D175" s="265">
        <f>IFERROR(((($J$153*D$173+$J$156)*(1-$K$158))/($E$14+(($C175-$E$3)*$E$5)))^(1/5)-1,"n/m")</f>
        <v/>
      </c>
      <c r="E175" s="266">
        <f>IFERROR(((($J$153*E$173+$J$156)*(1-$K$158))/($E$14+(($C175-$E$3)*$E$5)))^(1/5)-1,"n/m")</f>
        <v/>
      </c>
      <c r="F175" s="266">
        <f>IFERROR(((($J$153*F$173+$J$156)*(1-$K$158))/($E$14+(($C175-$E$3)*$E$5)))^(1/5)-1,"n/m")</f>
        <v/>
      </c>
      <c r="G175" s="266">
        <f>IFERROR(((($J$153*G$173+$J$156)*(1-$K$158))/($E$14+(($C175-$E$3)*$E$5)))^(1/5)-1,"n/m")</f>
        <v/>
      </c>
      <c r="H175" s="267">
        <f>IFERROR(((($J$153*H$173+$J$156)*(1-$K$158))/($E$14+(($C175-$E$3)*$E$5)))^(1/5)-1,"n/m")</f>
        <v/>
      </c>
    </row>
    <row r="176" ht="12.75" customHeight="1" s="148">
      <c r="B176" s="213" t="inlineStr">
        <is>
          <t>Multiple</t>
        </is>
      </c>
      <c r="C176" s="248" t="n">
        <v>13</v>
      </c>
      <c r="D176" s="265">
        <f>IFERROR(((($J$153*D$173+$J$156)*(1-$K$158))/($E$14+(($C176-$E$3)*$E$5)))^(1/5)-1,"n/m")</f>
        <v/>
      </c>
      <c r="E176" s="266">
        <f>IFERROR(((($J$153*E$173+$J$156)*(1-$K$158))/($E$14+(($C176-$E$3)*$E$5)))^(1/5)-1,"n/m")</f>
        <v/>
      </c>
      <c r="F176" s="256">
        <f>IFERROR(((($J$153*F$173+$J$156)*(1-$K$158))/($E$14+(($C176-$E$3)*$E$5)))^(1/5)-1,"n/m")</f>
        <v/>
      </c>
      <c r="G176" s="266">
        <f>IFERROR(((($J$153*G$173+$J$156)*(1-$K$158))/($E$14+(($C176-$E$3)*$E$5)))^(1/5)-1,"n/m")</f>
        <v/>
      </c>
      <c r="H176" s="267">
        <f>IFERROR(((($J$153*H$173+$J$156)*(1-$K$158))/($E$14+(($C176-$E$3)*$E$5)))^(1/5)-1,"n/m")</f>
        <v/>
      </c>
    </row>
    <row r="177" ht="12.75" customHeight="1" s="148">
      <c r="C177" s="248" t="n">
        <v>14</v>
      </c>
      <c r="D177" s="265">
        <f>IFERROR(((($J$153*D$173+$J$156)*(1-$K$158))/($E$14+(($C177-$E$3)*$E$5)))^(1/5)-1,"n/m")</f>
        <v/>
      </c>
      <c r="E177" s="266">
        <f>IFERROR(((($J$153*E$173+$J$156)*(1-$K$158))/($E$14+(($C177-$E$3)*$E$5)))^(1/5)-1,"n/m")</f>
        <v/>
      </c>
      <c r="F177" s="266">
        <f>IFERROR(((($J$153*F$173+$J$156)*(1-$K$158))/($E$14+(($C177-$E$3)*$E$5)))^(1/5)-1,"n/m")</f>
        <v/>
      </c>
      <c r="G177" s="266">
        <f>IFERROR(((($J$153*G$173+$J$156)*(1-$K$158))/($E$14+(($C177-$E$3)*$E$5)))^(1/5)-1,"n/m")</f>
        <v/>
      </c>
      <c r="H177" s="267">
        <f>IFERROR(((($J$153*H$173+$J$156)*(1-$K$158))/($E$14+(($C177-$E$3)*$E$5)))^(1/5)-1,"n/m")</f>
        <v/>
      </c>
    </row>
    <row r="178" ht="12.75" customHeight="1" s="148">
      <c r="C178" s="248" t="n">
        <v>15</v>
      </c>
      <c r="D178" s="268">
        <f>IFERROR(((($J$153*D$173+$J$156)*(1-$K$158))/($E$14+(($C178-$E$3)*$E$5)))^(1/5)-1,"n/m")</f>
        <v/>
      </c>
      <c r="E178" s="269">
        <f>IFERROR(((($J$153*E$173+$J$156)*(1-$K$158))/($E$14+(($C178-$E$3)*$E$5)))^(1/5)-1,"n/m")</f>
        <v/>
      </c>
      <c r="F178" s="269">
        <f>IFERROR(((($J$153*F$173+$J$156)*(1-$K$158))/($E$14+(($C178-$E$3)*$E$5)))^(1/5)-1,"n/m")</f>
        <v/>
      </c>
      <c r="G178" s="269">
        <f>IFERROR(((($J$153*G$173+$J$156)*(1-$K$158))/($E$14+(($C178-$E$3)*$E$5)))^(1/5)-1,"n/m")</f>
        <v/>
      </c>
      <c r="H178" s="270">
        <f>IFERROR(((($J$153*H$173+$J$156)*(1-$K$158))/($E$14+(($C178-$E$3)*$E$5)))^(1/5)-1,"n/m")</f>
        <v/>
      </c>
    </row>
    <row r="180" ht="12.75" customHeight="1" s="148">
      <c r="C180" s="213" t="inlineStr">
        <is>
          <t>MoM: same axes and method.</t>
        </is>
      </c>
      <c r="D180" s="260" t="inlineStr">
        <is>
          <t>Exit Multiple</t>
        </is>
      </c>
    </row>
    <row r="181" ht="12.75" customHeight="1" s="148">
      <c r="C181" s="261">
        <f>+J168</f>
        <v/>
      </c>
      <c r="D181" s="271" t="n">
        <v>8</v>
      </c>
      <c r="E181" s="271">
        <f>D181+1</f>
        <v/>
      </c>
      <c r="F181" s="271">
        <f>E181+1</f>
        <v/>
      </c>
      <c r="G181" s="271">
        <f>F181+1</f>
        <v/>
      </c>
      <c r="H181" s="271">
        <f>G181+1</f>
        <v/>
      </c>
    </row>
    <row r="182" ht="12.75" customHeight="1" s="148">
      <c r="C182" s="248" t="n">
        <v>11</v>
      </c>
      <c r="D182" s="272">
        <f>IFERROR((($J$153*D$181+$J$156)*(1-$K$158))/($E$14+(($C182-$E$3)*$E$5)),"n/m")</f>
        <v/>
      </c>
      <c r="E182" s="273">
        <f>IFERROR((($J$153*E$181+$J$156)*(1-$K$158))/($E$14+(($C182-$E$3)*$E$5)),"n/m")</f>
        <v/>
      </c>
      <c r="F182" s="273">
        <f>IFERROR((($J$153*F$181+$J$156)*(1-$K$158))/($E$14+(($C182-$E$3)*$E$5)),"n/m")</f>
        <v/>
      </c>
      <c r="G182" s="273">
        <f>IFERROR((($J$153*G$181+$J$156)*(1-$K$158))/($E$14+(($C182-$E$3)*$E$5)),"n/m")</f>
        <v/>
      </c>
      <c r="H182" s="274">
        <f>IFERROR((($J$153*H$181+$J$156)*(1-$K$158))/($E$14+(($C182-$E$3)*$E$5)),"n/m")</f>
        <v/>
      </c>
    </row>
    <row r="183" ht="12.75" customHeight="1" s="148">
      <c r="B183" s="213" t="inlineStr">
        <is>
          <t>Entry</t>
        </is>
      </c>
      <c r="C183" s="248" t="n">
        <v>12</v>
      </c>
      <c r="D183" s="275">
        <f>IFERROR((($J$153*D$181+$J$156)*(1-$K$158))/($E$14+(($C183-$E$3)*$E$5)),"n/m")</f>
        <v/>
      </c>
      <c r="E183" s="276">
        <f>IFERROR((($J$153*E$181+$J$156)*(1-$K$158))/($E$14+(($C183-$E$3)*$E$5)),"n/m")</f>
        <v/>
      </c>
      <c r="F183" s="276">
        <f>IFERROR((($J$153*F$181+$J$156)*(1-$K$158))/($E$14+(($C183-$E$3)*$E$5)),"n/m")</f>
        <v/>
      </c>
      <c r="G183" s="276">
        <f>IFERROR((($J$153*G$181+$J$156)*(1-$K$158))/($E$14+(($C183-$E$3)*$E$5)),"n/m")</f>
        <v/>
      </c>
      <c r="H183" s="277">
        <f>IFERROR((($J$153*H$181+$J$156)*(1-$K$158))/($E$14+(($C183-$E$3)*$E$5)),"n/m")</f>
        <v/>
      </c>
    </row>
    <row r="184" ht="12.75" customHeight="1" s="148">
      <c r="B184" s="213" t="inlineStr">
        <is>
          <t>Multiple</t>
        </is>
      </c>
      <c r="C184" s="248" t="n">
        <v>13</v>
      </c>
      <c r="D184" s="275">
        <f>IFERROR((($J$153*D$181+$J$156)*(1-$K$158))/($E$14+(($C184-$E$3)*$E$5)),"n/m")</f>
        <v/>
      </c>
      <c r="E184" s="276">
        <f>IFERROR((($J$153*E$181+$J$156)*(1-$K$158))/($E$14+(($C184-$E$3)*$E$5)),"n/m")</f>
        <v/>
      </c>
      <c r="F184" s="278">
        <f>IFERROR((($J$153*F$181+$J$156)*(1-$K$158))/($E$14+(($C184-$E$3)*$E$5)),"n/m")</f>
        <v/>
      </c>
      <c r="G184" s="276">
        <f>IFERROR((($J$153*G$181+$J$156)*(1-$K$158))/($E$14+(($C184-$E$3)*$E$5)),"n/m")</f>
        <v/>
      </c>
      <c r="H184" s="277">
        <f>IFERROR((($J$153*H$181+$J$156)*(1-$K$158))/($E$14+(($C184-$E$3)*$E$5)),"n/m")</f>
        <v/>
      </c>
    </row>
    <row r="185" ht="12.75" customHeight="1" s="148">
      <c r="C185" s="248" t="n">
        <v>14</v>
      </c>
      <c r="D185" s="275">
        <f>IFERROR((($J$153*D$181+$J$156)*(1-$K$158))/($E$14+(($C185-$E$3)*$E$5)),"n/m")</f>
        <v/>
      </c>
      <c r="E185" s="276">
        <f>IFERROR((($J$153*E$181+$J$156)*(1-$K$158))/($E$14+(($C185-$E$3)*$E$5)),"n/m")</f>
        <v/>
      </c>
      <c r="F185" s="276">
        <f>IFERROR((($J$153*F$181+$J$156)*(1-$K$158))/($E$14+(($C185-$E$3)*$E$5)),"n/m")</f>
        <v/>
      </c>
      <c r="G185" s="276">
        <f>IFERROR((($J$153*G$181+$J$156)*(1-$K$158))/($E$14+(($C185-$E$3)*$E$5)),"n/m")</f>
        <v/>
      </c>
      <c r="H185" s="277">
        <f>IFERROR((($J$153*H$181+$J$156)*(1-$K$158))/($E$14+(($C185-$E$3)*$E$5)),"n/m")</f>
        <v/>
      </c>
    </row>
    <row r="186" ht="12.75" customHeight="1" s="148">
      <c r="C186" s="248" t="n">
        <v>15</v>
      </c>
      <c r="D186" s="279">
        <f>IFERROR((($J$153*D$181+$J$156)*(1-$K$158))/($E$14+(($C186-$E$3)*$E$5)),"n/m")</f>
        <v/>
      </c>
      <c r="E186" s="280">
        <f>IFERROR((($J$153*E$181+$J$156)*(1-$K$158))/($E$14+(($C186-$E$3)*$E$5)),"n/m")</f>
        <v/>
      </c>
      <c r="F186" s="280">
        <f>IFERROR((($J$153*F$181+$J$156)*(1-$K$158))/($E$14+(($C186-$E$3)*$E$5)),"n/m")</f>
        <v/>
      </c>
      <c r="G186" s="280">
        <f>IFERROR((($J$153*G$181+$J$156)*(1-$K$158))/($E$14+(($C186-$E$3)*$E$5)),"n/m")</f>
        <v/>
      </c>
      <c r="H186" s="281">
        <f>IFERROR((($J$153*H$181+$J$156)*(1-$K$158))/($E$14+(($C186-$E$3)*$E$5)),"n/m")</f>
        <v/>
      </c>
    </row>
    <row r="188" ht="12.75" customHeight="1" s="148">
      <c r="A188" s="213" t="inlineStr">
        <is>
          <t>x</t>
        </is>
      </c>
      <c r="B188" s="237" t="inlineStr">
        <is>
          <t>Returns Creation</t>
        </is>
      </c>
      <c r="C188" s="237" t="n"/>
      <c r="D188" s="237" t="n"/>
      <c r="E188" s="237" t="n"/>
      <c r="F188" s="237" t="n"/>
      <c r="G188" s="237" t="n"/>
      <c r="H188" s="237" t="n"/>
      <c r="I188" s="237" t="n"/>
      <c r="J188" s="237" t="n"/>
    </row>
    <row r="189" ht="12.75" customHeight="1" s="148">
      <c r="E189" s="282" t="n">
        <v>2010</v>
      </c>
      <c r="F189" s="282" t="n">
        <v>2015</v>
      </c>
      <c r="G189" s="282" t="inlineStr">
        <is>
          <t>Change</t>
        </is>
      </c>
      <c r="H189" s="282" t="inlineStr">
        <is>
          <t>Multiple</t>
        </is>
      </c>
      <c r="I189" s="282" t="inlineStr">
        <is>
          <t>$</t>
        </is>
      </c>
      <c r="J189" s="282" t="inlineStr">
        <is>
          <t>%</t>
        </is>
      </c>
    </row>
    <row r="190" ht="12.75" customHeight="1" s="148">
      <c r="B190" s="213" t="inlineStr">
        <is>
          <t>Beg Equity Value</t>
        </is>
      </c>
      <c r="E190" s="227" t="n"/>
      <c r="F190" s="227" t="n"/>
      <c r="G190" s="227" t="n"/>
      <c r="H190" s="227" t="n"/>
      <c r="I190" s="227">
        <f>+E14</f>
        <v/>
      </c>
    </row>
    <row r="191" ht="12.75" customHeight="1" s="148">
      <c r="E191" s="227" t="n"/>
      <c r="F191" s="227" t="n"/>
      <c r="G191" s="227" t="n"/>
      <c r="H191" s="227" t="n"/>
      <c r="I191" s="227" t="n"/>
    </row>
    <row r="192" ht="12.75" customHeight="1" s="148">
      <c r="B192" s="245" t="inlineStr">
        <is>
          <t>Creation</t>
        </is>
      </c>
      <c r="E192" s="227" t="n"/>
      <c r="F192" s="227" t="n"/>
      <c r="G192" s="227" t="n"/>
      <c r="H192" s="227" t="n"/>
      <c r="I192" s="227" t="n"/>
    </row>
    <row r="193" ht="12.75" customHeight="1" s="148">
      <c r="B193" s="213" t="inlineStr">
        <is>
          <t>Cash Build</t>
        </is>
      </c>
      <c r="E193" s="227">
        <f>+E62</f>
        <v/>
      </c>
      <c r="F193" s="227">
        <f>J62</f>
        <v/>
      </c>
      <c r="G193" s="227">
        <f>+F193-E193</f>
        <v/>
      </c>
      <c r="H193" s="228" t="n">
        <v>1</v>
      </c>
      <c r="I193" s="227">
        <f>+G193*H193</f>
        <v/>
      </c>
      <c r="J193" s="266">
        <f>+I193/$I$202</f>
        <v/>
      </c>
    </row>
    <row r="194" ht="12.75" customHeight="1" s="148">
      <c r="B194" s="213" t="inlineStr">
        <is>
          <t>Debt Paydown</t>
        </is>
      </c>
      <c r="E194" s="227">
        <f>+E67</f>
        <v/>
      </c>
      <c r="F194" s="227">
        <f>+J67</f>
        <v/>
      </c>
      <c r="G194" s="227">
        <f>+E194-F194</f>
        <v/>
      </c>
      <c r="H194" s="228" t="n">
        <v>1</v>
      </c>
      <c r="I194" s="227">
        <f>+G194*H194</f>
        <v/>
      </c>
      <c r="J194" s="266">
        <f>+I194/$I$202</f>
        <v/>
      </c>
    </row>
    <row r="195" ht="12.75" customHeight="1" s="148">
      <c r="B195" s="213" t="inlineStr">
        <is>
          <t>EBITDA Growth</t>
        </is>
      </c>
      <c r="E195" s="227">
        <f>+E31</f>
        <v/>
      </c>
      <c r="F195" s="227">
        <f>J31</f>
        <v/>
      </c>
      <c r="G195" s="227">
        <f>+F195-E195</f>
        <v/>
      </c>
      <c r="H195" s="228">
        <f>E4</f>
        <v/>
      </c>
      <c r="I195" s="227">
        <f>+G195*H195</f>
        <v/>
      </c>
      <c r="J195" s="266">
        <f>+I195/$I$202</f>
        <v/>
      </c>
    </row>
    <row r="196" ht="12.75" customHeight="1" s="148">
      <c r="B196" s="213" t="inlineStr">
        <is>
          <t>Multiple Expansion</t>
        </is>
      </c>
      <c r="E196" s="227">
        <f>+E3</f>
        <v/>
      </c>
      <c r="F196" s="227">
        <f>+E4</f>
        <v/>
      </c>
      <c r="G196" s="227">
        <f>+F196-E196</f>
        <v/>
      </c>
      <c r="H196" s="227">
        <f>+F195</f>
        <v/>
      </c>
      <c r="I196" s="227">
        <f>+G196*H196</f>
        <v/>
      </c>
      <c r="J196" s="266">
        <f>+I196/$I$202</f>
        <v/>
      </c>
    </row>
    <row r="197" ht="12.75" customHeight="1" s="148">
      <c r="B197" s="233" t="inlineStr">
        <is>
          <t>Created Value</t>
        </is>
      </c>
      <c r="C197" s="233" t="n"/>
      <c r="D197" s="233" t="n"/>
      <c r="E197" s="234" t="n"/>
      <c r="F197" s="234" t="n"/>
      <c r="G197" s="234" t="n"/>
      <c r="H197" s="234" t="n"/>
      <c r="I197" s="234">
        <f>SUM(I193:I196)</f>
        <v/>
      </c>
      <c r="J197" s="259">
        <f>SUM(J193:J196)</f>
        <v/>
      </c>
    </row>
    <row r="198" ht="12.75" customHeight="1" s="148">
      <c r="B198" s="213" t="inlineStr">
        <is>
          <t>(-) M&amp;A Fee</t>
        </is>
      </c>
      <c r="E198" s="227" t="n"/>
      <c r="F198" s="227" t="n"/>
      <c r="G198" s="227" t="n"/>
      <c r="H198" s="227" t="n"/>
      <c r="I198" s="227">
        <f>+-J12</f>
        <v/>
      </c>
      <c r="J198" s="266">
        <f>+I198/$I$202</f>
        <v/>
      </c>
    </row>
    <row r="199" ht="12.75" customHeight="1" s="148">
      <c r="B199" s="213" t="inlineStr">
        <is>
          <t>(-) Fin. Fee</t>
        </is>
      </c>
      <c r="E199" s="227" t="n"/>
      <c r="F199" s="227" t="n"/>
      <c r="G199" s="227" t="n"/>
      <c r="H199" s="227" t="n"/>
      <c r="I199" s="227">
        <f>+-J13</f>
        <v/>
      </c>
      <c r="J199" s="266">
        <f>+I199/$I$202</f>
        <v/>
      </c>
    </row>
    <row r="200" ht="12.75" customHeight="1" s="148">
      <c r="B200" s="233" t="inlineStr">
        <is>
          <t>Net Created Value (All)</t>
        </is>
      </c>
      <c r="C200" s="233" t="n"/>
      <c r="D200" s="233" t="n"/>
      <c r="E200" s="234" t="n"/>
      <c r="F200" s="234" t="n"/>
      <c r="G200" s="234" t="n"/>
      <c r="H200" s="234" t="n"/>
      <c r="I200" s="234">
        <f>SUM(I197:I199)</f>
        <v/>
      </c>
      <c r="J200" s="259">
        <f>SUM(J197:J199)</f>
        <v/>
      </c>
    </row>
    <row r="201" ht="12.75" customHeight="1" s="148">
      <c r="B201" s="213" t="inlineStr">
        <is>
          <t>Management Roll</t>
        </is>
      </c>
      <c r="E201" s="227" t="n"/>
      <c r="F201" s="227" t="n"/>
      <c r="G201" s="227" t="n"/>
      <c r="H201" s="227" t="n"/>
      <c r="I201" s="227">
        <f>+-I200*K158</f>
        <v/>
      </c>
      <c r="J201" s="266">
        <f>+I201/$I$202</f>
        <v/>
      </c>
    </row>
    <row r="202" ht="12.75" customHeight="1" s="148">
      <c r="B202" s="233" t="inlineStr">
        <is>
          <t>Sponsor Creation</t>
        </is>
      </c>
      <c r="C202" s="233" t="n"/>
      <c r="D202" s="233" t="n"/>
      <c r="E202" s="234" t="n"/>
      <c r="F202" s="234" t="n"/>
      <c r="G202" s="234" t="n"/>
      <c r="H202" s="234" t="n"/>
      <c r="I202" s="234">
        <f>SUM(I200:I201)</f>
        <v/>
      </c>
      <c r="J202" s="259">
        <f>SUM(J200:J201)</f>
        <v/>
      </c>
    </row>
    <row r="203" ht="12.75" customHeight="1" s="148">
      <c r="E203" s="227" t="n"/>
      <c r="F203" s="227" t="n"/>
      <c r="G203" s="227" t="n"/>
      <c r="H203" s="227" t="n"/>
      <c r="I203" s="227" t="n"/>
    </row>
    <row r="204" ht="12.75" customHeight="1" s="148">
      <c r="B204" s="213" t="inlineStr">
        <is>
          <t>Ending Equity (Calc)</t>
        </is>
      </c>
      <c r="E204" s="227" t="n"/>
      <c r="F204" s="227" t="n"/>
      <c r="G204" s="227" t="n"/>
      <c r="H204" s="227" t="n"/>
      <c r="I204" s="227">
        <f>+I190+I202</f>
        <v/>
      </c>
    </row>
    <row r="205" ht="12.75" customHeight="1" s="148">
      <c r="B205" s="213" t="inlineStr">
        <is>
          <t>Ending Equity (Link)</t>
        </is>
      </c>
      <c r="E205" s="227" t="n"/>
      <c r="F205" s="227" t="n"/>
      <c r="G205" s="227" t="n"/>
      <c r="H205" s="227" t="n"/>
      <c r="I205" s="227">
        <f>+J159</f>
        <v/>
      </c>
    </row>
    <row r="207" ht="12.75" customFormat="1" customHeight="1" s="283">
      <c r="A207" s="283" t="inlineStr">
        <is>
          <t>x</t>
        </is>
      </c>
      <c r="B207" s="283" t="inlineStr">
        <is>
          <t>Check</t>
        </is>
      </c>
      <c r="I207" s="284">
        <f>I204-I205</f>
        <v/>
      </c>
    </row>
  </sheetData>
  <mergeCells count="6">
    <mergeCell ref="B17:E17"/>
    <mergeCell ref="G10:J10"/>
    <mergeCell ref="D172:H172"/>
    <mergeCell ref="D180:H180"/>
    <mergeCell ref="B10:E10"/>
    <mergeCell ref="B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G9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148" min="1" max="1"/>
    <col width="46" customWidth="1" style="148" min="2" max="2"/>
    <col width="14" customWidth="1" style="148" min="3" max="3"/>
    <col width="14" customWidth="1" style="148" min="4" max="4"/>
    <col width="14" customWidth="1" style="148" min="5" max="5"/>
    <col width="6" customWidth="1" style="148" min="6" max="6"/>
    <col width="90" customWidth="1" style="148" min="7" max="7"/>
    <col width="2" customWidth="1" style="148" min="8" max="8"/>
    <col width="2" customWidth="1" style="148" min="9" max="9"/>
  </cols>
  <sheetData>
    <row r="2">
      <c r="B2" s="286" t="inlineStr">
        <is>
          <t>Sunoco LP / NuStar Energy L.P. (2024) — acquisition model: accretion / dilution and pro forma leverage</t>
        </is>
      </c>
    </row>
    <row r="3" ht="64" customHeight="1" s="148">
      <c r="B3" s="287" t="inlineStr">
        <is>
          <t>NOT AN LBO. All-equity MLP merger: 0.400 SUN common units per NuStar common unit. Not an LBO. The model answers the question a Sunoco unitholder had to answer: does issuing 51.5m units to buy $735m of EBITDA and $3.4bn of debt raise or lower distributable cash flow per unit, and where does leverage land.</t>
        </is>
      </c>
      <c r="C3" s="288" t="n"/>
      <c r="D3" s="288" t="n"/>
      <c r="E3" s="288" t="n"/>
      <c r="F3" s="288" t="n"/>
      <c r="G3" s="288" t="n"/>
    </row>
    <row r="4">
      <c r="B4" s="289" t="inlineStr">
        <is>
          <t>US$ millions unless stated. Blue on yellow = assumption; black = filed or derived from filed figures (see tag and source). Change any blue cell and the model recalculates.</t>
        </is>
      </c>
    </row>
    <row r="6">
      <c r="B6" s="290" t="inlineStr">
        <is>
          <t>EXCHANGE RATE</t>
        </is>
      </c>
      <c r="C6" s="290" t="inlineStr">
        <is>
          <t>Native</t>
        </is>
      </c>
      <c r="D6" s="290" t="inlineStr">
        <is>
          <t>Ccy</t>
        </is>
      </c>
      <c r="E6" s="290" t="inlineStr">
        <is>
          <t>US$</t>
        </is>
      </c>
      <c r="F6" s="290" t="inlineStr">
        <is>
          <t>Tag</t>
        </is>
      </c>
      <c r="G6" s="290" t="inlineStr">
        <is>
          <t>Source</t>
        </is>
      </c>
    </row>
    <row r="7">
      <c r="B7" s="289" t="inlineStr">
        <is>
          <t>All inputs in US$; no conversion required</t>
        </is>
      </c>
      <c r="C7" t="n">
        <v>1</v>
      </c>
      <c r="E7">
        <f>C7</f>
        <v/>
      </c>
    </row>
    <row r="9">
      <c r="B9" s="290" t="inlineStr">
        <is>
          <t>ACQUIRER STANDALONE — Sunoco LP, latest twelve months before announcement (2024-01-22)</t>
        </is>
      </c>
      <c r="C9" s="290" t="inlineStr">
        <is>
          <t>Native</t>
        </is>
      </c>
      <c r="D9" s="290" t="inlineStr">
        <is>
          <t>Ccy</t>
        </is>
      </c>
      <c r="E9" s="290" t="inlineStr">
        <is>
          <t>US$</t>
        </is>
      </c>
      <c r="F9" s="290" t="inlineStr">
        <is>
          <t>Tag</t>
        </is>
      </c>
      <c r="G9" s="290" t="inlineStr">
        <is>
          <t>Source</t>
        </is>
      </c>
    </row>
    <row r="10">
      <c r="B10" s="168" t="inlineStr">
        <is>
          <t>Adjusted EBITDA</t>
        </is>
      </c>
      <c r="C10" s="291" t="n">
        <v>964</v>
      </c>
      <c r="D10" s="289" t="inlineStr">
        <is>
          <t>USD</t>
        </is>
      </c>
      <c r="E10" s="291">
        <f>C10</f>
        <v/>
      </c>
      <c r="F10" s="289" t="inlineStr">
        <is>
          <t>F</t>
        </is>
      </c>
      <c r="G10" s="292" t="inlineStr">
        <is>
          <t>Sunoco LP Q4/FY2023 results release, 14 Feb 2024: Adjusted EBITDA $964m</t>
        </is>
      </c>
    </row>
    <row r="11">
      <c r="B11" s="168" t="inlineStr">
        <is>
          <t>Distributable cash flow, as adjusted</t>
        </is>
      </c>
      <c r="C11" s="291" t="n">
        <v>664</v>
      </c>
      <c r="D11" s="289" t="inlineStr">
        <is>
          <t>USD</t>
        </is>
      </c>
      <c r="E11" s="291">
        <f>C11</f>
        <v/>
      </c>
      <c r="F11" s="289" t="inlineStr">
        <is>
          <t>F</t>
        </is>
      </c>
      <c r="G11" s="292" t="inlineStr">
        <is>
          <t>Sunoco LP Q4/FY2023 results release: distributable cash flow, as adjusted, $664m</t>
        </is>
      </c>
    </row>
    <row r="12">
      <c r="B12" s="168" t="inlineStr">
        <is>
          <t>Common units outstanding (millions)</t>
        </is>
      </c>
      <c r="C12" s="293" t="n">
        <v>84.408</v>
      </c>
      <c r="D12" s="289" t="inlineStr">
        <is>
          <t>USD</t>
        </is>
      </c>
      <c r="E12" s="293">
        <f>C12</f>
        <v/>
      </c>
      <c r="F12" s="289" t="inlineStr">
        <is>
          <t>F</t>
        </is>
      </c>
      <c r="G12" s="292" t="inlineStr">
        <is>
          <t>Sunoco LP Q4/FY2023 results: 84,408,014 common units outstanding at 31 Dec 2023</t>
        </is>
      </c>
    </row>
    <row r="13">
      <c r="B13" s="168" t="inlineStr">
        <is>
          <t>Annualised distribution per unit (US$)</t>
        </is>
      </c>
      <c r="C13" s="294" t="n">
        <v>3.368</v>
      </c>
      <c r="D13" s="289" t="inlineStr">
        <is>
          <t>USD</t>
        </is>
      </c>
      <c r="E13" s="294">
        <f>C13</f>
        <v/>
      </c>
      <c r="F13" s="289" t="inlineStr">
        <is>
          <t>F</t>
        </is>
      </c>
      <c r="G13" s="292" t="inlineStr">
        <is>
          <t>Sunoco LP Q4 2023 distribution $0.8420 per unit, annualised</t>
        </is>
      </c>
    </row>
    <row r="14">
      <c r="B14" s="168" t="inlineStr">
        <is>
          <t>Net debt</t>
        </is>
      </c>
      <c r="C14" s="291" t="n">
        <v>3551</v>
      </c>
      <c r="D14" s="289" t="inlineStr">
        <is>
          <t>USD</t>
        </is>
      </c>
      <c r="E14" s="291">
        <f>C14</f>
        <v/>
      </c>
      <c r="F14" s="289" t="inlineStr">
        <is>
          <t>D</t>
        </is>
      </c>
      <c r="G14" s="292" t="inlineStr">
        <is>
          <t>Sunoco LP 31 Dec 2023: long-term debt, net $3,580m less cash $29m</t>
        </is>
      </c>
    </row>
    <row r="15">
      <c r="B15" s="168" t="inlineStr">
        <is>
          <t>Unit price at announcement (US$)</t>
        </is>
      </c>
      <c r="C15" s="294" t="n">
        <v>59.46</v>
      </c>
      <c r="D15" s="289" t="inlineStr">
        <is>
          <t>USD</t>
        </is>
      </c>
      <c r="E15" s="294">
        <f>C15</f>
        <v/>
      </c>
      <c r="F15" s="289" t="inlineStr">
        <is>
          <t>F</t>
        </is>
      </c>
      <c r="G15" s="292" t="inlineStr">
        <is>
          <t>NuStar DEFM14A proxy: SUN closing price 19 Jan 2024, last trading day before announcement</t>
        </is>
      </c>
    </row>
    <row r="16">
      <c r="B16" s="168" t="inlineStr">
        <is>
          <t>Standalone DCF and EBITDA growth p.a. (accretion measured against this)</t>
        </is>
      </c>
      <c r="C16" s="295" t="n">
        <v>0</v>
      </c>
      <c r="D16" s="289" t="inlineStr">
        <is>
          <t>USD</t>
        </is>
      </c>
      <c r="E16" s="172">
        <f>C16</f>
        <v/>
      </c>
      <c r="F16" s="296" t="inlineStr">
        <is>
          <t>A</t>
        </is>
      </c>
      <c r="G16" s="292" t="inlineStr">
        <is>
          <t>Standalone DCF held flat so accretion isolates the deal; management gave no standalone forecast</t>
        </is>
      </c>
    </row>
    <row r="17">
      <c r="B17" s="168" t="inlineStr">
        <is>
          <t>Distribution growth p.a.</t>
        </is>
      </c>
      <c r="C17" s="172" t="n">
        <v>0.04</v>
      </c>
      <c r="D17" s="289" t="inlineStr">
        <is>
          <t>USD</t>
        </is>
      </c>
      <c r="E17" s="172">
        <f>C17</f>
        <v/>
      </c>
      <c r="F17" s="289" t="inlineStr">
        <is>
          <t>F</t>
        </is>
      </c>
      <c r="G17" s="292" t="inlineStr">
        <is>
          <t>Sunoco raised the quarterly distribution 4% on closing (May 2024) and guided to continued annual growth</t>
        </is>
      </c>
    </row>
    <row r="19">
      <c r="B19" s="290" t="inlineStr">
        <is>
          <t>TARGET — NuStar Energy L.P., latest twelve months before announcement</t>
        </is>
      </c>
      <c r="C19" s="290" t="inlineStr">
        <is>
          <t>Native</t>
        </is>
      </c>
      <c r="D19" s="290" t="inlineStr">
        <is>
          <t>Ccy</t>
        </is>
      </c>
      <c r="E19" s="290" t="inlineStr">
        <is>
          <t>US$</t>
        </is>
      </c>
      <c r="F19" s="290" t="inlineStr">
        <is>
          <t>Tag</t>
        </is>
      </c>
      <c r="G19" s="290" t="inlineStr">
        <is>
          <t>Source</t>
        </is>
      </c>
    </row>
    <row r="20">
      <c r="B20" s="168" t="inlineStr">
        <is>
          <t>Adjusted EBITDA (lease-excluded basis where target reports IFRS)</t>
        </is>
      </c>
      <c r="C20" s="291" t="n">
        <v>735.1</v>
      </c>
      <c r="D20" s="289" t="inlineStr">
        <is>
          <t>USD</t>
        </is>
      </c>
      <c r="E20" s="291">
        <f>C20</f>
        <v/>
      </c>
      <c r="F20" s="289" t="inlineStr">
        <is>
          <t>F</t>
        </is>
      </c>
      <c r="G20" s="292" t="inlineStr">
        <is>
          <t>NuStar Q4/FY2023 results release, 14 Feb 2024: Adjusted EBITDA $735.1m</t>
        </is>
      </c>
    </row>
    <row r="21">
      <c r="B21" s="168" t="inlineStr">
        <is>
          <t>Maintenance capital expenditure</t>
        </is>
      </c>
      <c r="C21" s="291" t="n">
        <v>28</v>
      </c>
      <c r="D21" s="289" t="inlineStr">
        <is>
          <t>USD</t>
        </is>
      </c>
      <c r="E21" s="291">
        <f>C21</f>
        <v/>
      </c>
      <c r="F21" s="289" t="inlineStr">
        <is>
          <t>F</t>
        </is>
      </c>
      <c r="G21" s="292" t="inlineStr">
        <is>
          <t>NuStar FY2023 reliability capital expenditures $28.0m</t>
        </is>
      </c>
    </row>
    <row r="22">
      <c r="B22" s="168" t="inlineStr">
        <is>
          <t>Cash taxes</t>
        </is>
      </c>
      <c r="C22" s="291" t="n">
        <v>5.4</v>
      </c>
      <c r="D22" s="289" t="inlineStr">
        <is>
          <t>USD</t>
        </is>
      </c>
      <c r="E22" s="291">
        <f>C22</f>
        <v/>
      </c>
      <c r="F22" s="289" t="inlineStr">
        <is>
          <t>F</t>
        </is>
      </c>
      <c r="G22" s="292" t="inlineStr">
        <is>
          <t>NuStar FY2023 income tax expense $5.4m (cash-paid figure not disclosed)</t>
        </is>
      </c>
    </row>
    <row r="23">
      <c r="B23" s="168" t="inlineStr">
        <is>
          <t>Target net debt assumed and left outstanding</t>
        </is>
      </c>
      <c r="C23" s="291" t="n">
        <v>2572.1</v>
      </c>
      <c r="D23" s="289" t="inlineStr">
        <is>
          <t>USD</t>
        </is>
      </c>
      <c r="E23" s="291">
        <f>C23</f>
        <v/>
      </c>
      <c r="F23" s="289" t="inlineStr">
        <is>
          <t>F</t>
        </is>
      </c>
      <c r="G23" s="292" t="inlineStr">
        <is>
          <t>NuStar 10-K 31 Dec 2023: senior notes $2,250m (5.75%, 6.00%, 5.625%, 6.375%) plus GoZone bonds $322.1m, all left outstanding</t>
        </is>
      </c>
    </row>
    <row r="24">
      <c r="B24" s="168" t="inlineStr">
        <is>
          <t>Cash interest rate on assumed debt</t>
        </is>
      </c>
      <c r="C24" s="172" t="n">
        <v>0.0595</v>
      </c>
      <c r="D24" s="289" t="inlineStr">
        <is>
          <t>USD</t>
        </is>
      </c>
      <c r="E24" s="172">
        <f>C24</f>
        <v/>
      </c>
      <c r="F24" s="289" t="inlineStr">
        <is>
          <t>D</t>
        </is>
      </c>
      <c r="G24" s="292" t="inlineStr">
        <is>
          <t>Weighted coupon of the notes left outstanding: $153m on $2,572m</t>
        </is>
      </c>
    </row>
    <row r="25">
      <c r="B25" s="168" t="inlineStr">
        <is>
          <t>Target instruments refinanced at close (preferred, subordinated notes, revolver)</t>
        </is>
      </c>
      <c r="C25" s="291" t="n">
        <v>1641.5</v>
      </c>
      <c r="D25" s="289" t="inlineStr">
        <is>
          <t>USD</t>
        </is>
      </c>
      <c r="E25" s="291">
        <f>C25</f>
        <v/>
      </c>
      <c r="F25" s="289" t="inlineStr">
        <is>
          <t>F</t>
        </is>
      </c>
      <c r="G25" s="292" t="inlineStr">
        <is>
          <t>Refinanced at or after close: Series A/B/C preferred $784m (purchased at $25.00, 3 Jun 2024), 7.625% subordinated notes $402.5m, NuStar credit facility $455m</t>
        </is>
      </c>
    </row>
    <row r="26">
      <c r="B26" s="168" t="inlineStr">
        <is>
          <t>Target shares / units outstanding (millions)</t>
        </is>
      </c>
      <c r="C26" s="297" t="n">
        <v>126.53</v>
      </c>
      <c r="D26" s="289" t="inlineStr">
        <is>
          <t>USD</t>
        </is>
      </c>
      <c r="E26" s="297">
        <f>C26</f>
        <v/>
      </c>
      <c r="F26" s="289" t="inlineStr">
        <is>
          <t>F</t>
        </is>
      </c>
      <c r="G26" s="292" t="inlineStr">
        <is>
          <t>NuStar 10-Q: 126,535,349 common units outstanding 26 Apr 2024</t>
        </is>
      </c>
    </row>
    <row r="27">
      <c r="B27" s="168" t="inlineStr">
        <is>
          <t>Target share price before announcement (native currency)</t>
        </is>
      </c>
      <c r="C27" s="294" t="n">
        <v>18.03</v>
      </c>
      <c r="D27" s="289" t="inlineStr">
        <is>
          <t>USD</t>
        </is>
      </c>
      <c r="E27" s="294">
        <f>C27</f>
        <v/>
      </c>
      <c r="F27" s="289" t="inlineStr">
        <is>
          <t>D</t>
        </is>
      </c>
      <c r="G27" s="292" t="inlineStr">
        <is>
          <t>Derived from the proxy: $24.00 implied value was a 33.1% premium to the NuStar close on 19 Jan 2024</t>
        </is>
      </c>
    </row>
    <row r="29">
      <c r="B29" s="290" t="inlineStr">
        <is>
          <t>DEAL TERMS AND FINANCING</t>
        </is>
      </c>
      <c r="C29" s="290" t="inlineStr">
        <is>
          <t>Native</t>
        </is>
      </c>
      <c r="D29" s="290" t="inlineStr">
        <is>
          <t>Ccy</t>
        </is>
      </c>
      <c r="E29" s="290" t="inlineStr">
        <is>
          <t>US$</t>
        </is>
      </c>
      <c r="F29" s="290" t="inlineStr">
        <is>
          <t>Tag</t>
        </is>
      </c>
      <c r="G29" s="290" t="inlineStr">
        <is>
          <t>Source</t>
        </is>
      </c>
    </row>
    <row r="30">
      <c r="B30" s="168" t="inlineStr">
        <is>
          <t>Acquirer units issued to target holders (millions)</t>
        </is>
      </c>
      <c r="C30" s="293" t="n">
        <v>51.5</v>
      </c>
      <c r="D30" s="289" t="inlineStr">
        <is>
          <t>USD</t>
        </is>
      </c>
      <c r="E30" s="293">
        <f>C30</f>
        <v/>
      </c>
      <c r="F30" s="289" t="inlineStr">
        <is>
          <t>F</t>
        </is>
      </c>
      <c r="G30" s="292" t="inlineStr">
        <is>
          <t>Sunoco 10-Q Q2 2024: approximately 51.5 million common units issued, fair value $2.85bn</t>
        </is>
      </c>
    </row>
    <row r="31">
      <c r="B31" s="168" t="inlineStr">
        <is>
          <t>Cash consideration to target holders</t>
        </is>
      </c>
      <c r="C31" s="291" t="n">
        <v>0</v>
      </c>
      <c r="D31" s="289" t="inlineStr">
        <is>
          <t>USD</t>
        </is>
      </c>
      <c r="E31" s="291">
        <f>C31</f>
        <v/>
      </c>
      <c r="F31" s="289" t="inlineStr">
        <is>
          <t>F</t>
        </is>
      </c>
      <c r="G31" s="292" t="inlineStr">
        <is>
          <t>All-equity transaction: no cash paid to NuStar unitholders</t>
        </is>
      </c>
    </row>
    <row r="32">
      <c r="B32" s="168" t="inlineStr">
        <is>
          <t>New senior notes issued</t>
        </is>
      </c>
      <c r="C32" s="291" t="n">
        <v>1500</v>
      </c>
      <c r="D32" s="289" t="inlineStr">
        <is>
          <t>USD</t>
        </is>
      </c>
      <c r="E32" s="291">
        <f>C32</f>
        <v/>
      </c>
      <c r="F32" s="289" t="inlineStr">
        <is>
          <t>F</t>
        </is>
      </c>
      <c r="G32" s="292" t="inlineStr">
        <is>
          <t>Sunoco senior notes priced 16 Apr 2024: $750m 7.000% due 2029 and $750m 7.250% due 2032</t>
        </is>
      </c>
    </row>
    <row r="33">
      <c r="B33" s="168" t="inlineStr">
        <is>
          <t>Blended coupon on new notes</t>
        </is>
      </c>
      <c r="C33" s="172" t="n">
        <v>0.07124999999999999</v>
      </c>
      <c r="D33" s="289" t="inlineStr">
        <is>
          <t>USD</t>
        </is>
      </c>
      <c r="E33" s="172">
        <f>C33</f>
        <v/>
      </c>
      <c r="F33" s="289" t="inlineStr">
        <is>
          <t>D</t>
        </is>
      </c>
      <c r="G33" s="292" t="inlineStr">
        <is>
          <t>Blended coupon of the two tranches</t>
        </is>
      </c>
    </row>
    <row r="34">
      <c r="B34" s="168" t="inlineStr">
        <is>
          <t>New preferred equity issued</t>
        </is>
      </c>
      <c r="C34" s="291" t="n">
        <v>0</v>
      </c>
      <c r="D34" s="289" t="inlineStr">
        <is>
          <t>USD</t>
        </is>
      </c>
      <c r="E34" s="291">
        <f>C34</f>
        <v/>
      </c>
      <c r="F34" s="289" t="inlineStr">
        <is>
          <t>F</t>
        </is>
      </c>
      <c r="G34" s="292" t="inlineStr">
        <is>
          <t>No preferred equity issued by Sunoco in this transaction</t>
        </is>
      </c>
    </row>
    <row r="35">
      <c r="B35" s="168" t="inlineStr">
        <is>
          <t>Preferred distribution rate</t>
        </is>
      </c>
      <c r="C35" s="172" t="n">
        <v>0</v>
      </c>
      <c r="D35" s="289" t="inlineStr">
        <is>
          <t>USD</t>
        </is>
      </c>
      <c r="E35" s="172">
        <f>C35</f>
        <v/>
      </c>
      <c r="F35" s="289" t="inlineStr">
        <is>
          <t>F</t>
        </is>
      </c>
      <c r="G35" s="292" t="inlineStr">
        <is>
          <t>n/a</t>
        </is>
      </c>
    </row>
    <row r="36">
      <c r="B36" s="168" t="inlineStr">
        <is>
          <t>Rate on revolver plug / cash retained</t>
        </is>
      </c>
      <c r="C36" s="295" t="n">
        <v>0.07000000000000001</v>
      </c>
      <c r="D36" s="289" t="inlineStr">
        <is>
          <t>USD</t>
        </is>
      </c>
      <c r="E36" s="172">
        <f>C36</f>
        <v/>
      </c>
      <c r="F36" s="296" t="inlineStr">
        <is>
          <t>A</t>
        </is>
      </c>
      <c r="G36" s="292" t="inlineStr">
        <is>
          <t>Cost of the revolver draw that balances sources and uses (Sunoco unsecured revolver, SOFR-based, 2024)</t>
        </is>
      </c>
    </row>
    <row r="37">
      <c r="B37" s="168" t="inlineStr">
        <is>
          <t>Transaction and financing costs</t>
        </is>
      </c>
      <c r="C37" s="291" t="n">
        <v>100</v>
      </c>
      <c r="D37" s="289" t="inlineStr">
        <is>
          <t>USD</t>
        </is>
      </c>
      <c r="E37" s="291">
        <f>C37</f>
        <v/>
      </c>
      <c r="F37" s="289" t="inlineStr">
        <is>
          <t>F</t>
        </is>
      </c>
      <c r="G37" s="292" t="inlineStr">
        <is>
          <t>Transaction costs; Sunoco reported roughly $100m of one-time transaction expenses in 2024 guidance</t>
        </is>
      </c>
    </row>
    <row r="38">
      <c r="B38" s="168" t="inlineStr">
        <is>
          <t>Run-rate synergies by year 3</t>
        </is>
      </c>
      <c r="C38" s="291" t="n">
        <v>150</v>
      </c>
      <c r="D38" s="289" t="inlineStr">
        <is>
          <t>USD</t>
        </is>
      </c>
      <c r="E38" s="291">
        <f>C38</f>
        <v/>
      </c>
      <c r="F38" s="289" t="inlineStr">
        <is>
          <t>F</t>
        </is>
      </c>
      <c r="G38" s="292" t="inlineStr">
        <is>
          <t>Sunoco 22 Jan 2024 release: at least $150m of run-rate synergies by year 3 (raised to $200m plus $60m financial in Aug 2024)</t>
        </is>
      </c>
    </row>
    <row r="39">
      <c r="B39" s="168" t="inlineStr">
        <is>
          <t>Synergy realisation, year 1</t>
        </is>
      </c>
      <c r="C39" s="295" t="n">
        <v>0.33</v>
      </c>
      <c r="D39" s="289" t="inlineStr">
        <is>
          <t>USD</t>
        </is>
      </c>
      <c r="E39" s="172">
        <f>C39</f>
        <v/>
      </c>
      <c r="F39" s="296" t="inlineStr">
        <is>
          <t>A</t>
        </is>
      </c>
      <c r="G39" s="292" t="inlineStr">
        <is>
          <t>Year-1 realisation; about $50m realised in 2024 per Sunoco Q2 2024 release, consistent with one third</t>
        </is>
      </c>
    </row>
    <row r="40">
      <c r="B40" s="168" t="inlineStr">
        <is>
          <t>Synergy realisation, year 2</t>
        </is>
      </c>
      <c r="C40" s="295" t="n">
        <v>0.67</v>
      </c>
      <c r="D40" s="289" t="inlineStr">
        <is>
          <t>USD</t>
        </is>
      </c>
      <c r="E40" s="172">
        <f>C40</f>
        <v/>
      </c>
      <c r="F40" s="296" t="inlineStr">
        <is>
          <t>A</t>
        </is>
      </c>
      <c r="G40" s="292" t="inlineStr">
        <is>
          <t>Year-2 realisation, straight-line to the year-3 run-rate</t>
        </is>
      </c>
    </row>
    <row r="41">
      <c r="B41" s="168" t="inlineStr">
        <is>
          <t>Synergy realisation, year 3</t>
        </is>
      </c>
      <c r="C41" s="172" t="n">
        <v>1</v>
      </c>
      <c r="D41" s="289" t="inlineStr">
        <is>
          <t>USD</t>
        </is>
      </c>
      <c r="E41" s="172">
        <f>C41</f>
        <v/>
      </c>
      <c r="F41" s="289" t="inlineStr">
        <is>
          <t>F</t>
        </is>
      </c>
      <c r="G41" s="292" t="inlineStr">
        <is>
          <t>Year-3 run-rate as stated</t>
        </is>
      </c>
    </row>
    <row r="43">
      <c r="B43" s="290" t="inlineStr">
        <is>
          <t>SOURCES AND USES AT CLOSE</t>
        </is>
      </c>
      <c r="C43" s="298" t="inlineStr">
        <is>
          <t>Value</t>
        </is>
      </c>
      <c r="D43" s="298" t="inlineStr"/>
      <c r="E43" s="298" t="inlineStr"/>
      <c r="F43" s="298" t="inlineStr"/>
      <c r="G43" s="299" t="n"/>
    </row>
    <row r="44">
      <c r="B44" s="168" t="inlineStr">
        <is>
          <t>Uses: cash to target holders + refinanced target instruments + fees</t>
        </is>
      </c>
      <c r="C44" s="300">
        <f>E31+E25+E37</f>
        <v/>
      </c>
    </row>
    <row r="45">
      <c r="B45" s="168" t="inlineStr">
        <is>
          <t>Sources: new senior notes + new preferred</t>
        </is>
      </c>
      <c r="C45" s="300">
        <f>E32+E34</f>
        <v/>
      </c>
    </row>
    <row r="46">
      <c r="B46" s="296" t="inlineStr">
        <is>
          <t>Revolver draw (positive) or cash retained (negative) to balance</t>
        </is>
      </c>
      <c r="C46" s="301">
        <f>C44-C45</f>
        <v/>
      </c>
      <c r="G46" s="289" t="inlineStr">
        <is>
          <t>Negative means the financing raised more than the cash uses; the surplus reduces net debt, as Sunoco did by repaying its revolver.</t>
        </is>
      </c>
    </row>
    <row r="47">
      <c r="B47" s="168" t="inlineStr">
        <is>
          <t>Value of acquirer units issued at announcement price</t>
        </is>
      </c>
      <c r="C47" s="300">
        <f>E30*E15</f>
        <v/>
      </c>
    </row>
    <row r="48">
      <c r="B48" s="296" t="inlineStr">
        <is>
          <t>Target enterprise value at offer (units + cash + debt assumed + refinanced instruments)</t>
        </is>
      </c>
      <c r="C48" s="301">
        <f>C47+E31+E23+E25</f>
        <v/>
      </c>
    </row>
    <row r="49">
      <c r="B49" s="168" t="inlineStr">
        <is>
          <t>EV / target LTM EBITDA</t>
        </is>
      </c>
      <c r="C49" s="302">
        <f>C48/E20</f>
        <v/>
      </c>
    </row>
    <row r="50">
      <c r="B50" s="168" t="inlineStr">
        <is>
          <t>EV / (target LTM EBITDA + run-rate synergies)</t>
        </is>
      </c>
      <c r="C50" s="302">
        <f>C48/(E20+E38)</f>
        <v/>
      </c>
    </row>
    <row r="51">
      <c r="B51" s="168" t="inlineStr">
        <is>
          <t>Offer value per target share (native currency)</t>
        </is>
      </c>
      <c r="C51" s="303">
        <f>(C47+E31)/E26*E7</f>
        <v/>
      </c>
    </row>
    <row r="52">
      <c r="B52" s="168" t="inlineStr">
        <is>
          <t>Premium to pre-announcement price</t>
        </is>
      </c>
      <c r="C52" s="304">
        <f>C51/C27-1</f>
        <v/>
      </c>
    </row>
    <row r="54">
      <c r="B54" s="290" t="inlineStr">
        <is>
          <t>PRO FORMA DISTRIBUTABLE CASH FLOW PER UNIT</t>
        </is>
      </c>
      <c r="C54" s="298" t="inlineStr">
        <is>
          <t>Year 1</t>
        </is>
      </c>
      <c r="D54" s="298" t="inlineStr">
        <is>
          <t>Year 2</t>
        </is>
      </c>
      <c r="E54" s="298" t="inlineStr">
        <is>
          <t>Year 3</t>
        </is>
      </c>
      <c r="F54" s="298" t="inlineStr"/>
      <c r="G54" s="299" t="n"/>
    </row>
    <row r="55">
      <c r="B55" s="168" t="inlineStr">
        <is>
          <t>Synergies realised</t>
        </is>
      </c>
      <c r="C55" s="300">
        <f>E38*E39</f>
        <v/>
      </c>
      <c r="D55" s="300">
        <f>E38*E40</f>
        <v/>
      </c>
      <c r="E55" s="300">
        <f>E38*E41</f>
        <v/>
      </c>
    </row>
    <row r="56">
      <c r="B56" s="168" t="inlineStr">
        <is>
          <t>Acquirer standalone DCF (grown at the standalone rate)</t>
        </is>
      </c>
      <c r="C56" s="300">
        <f>E11*(1+E16)^1</f>
        <v/>
      </c>
      <c r="D56" s="300">
        <f>E11*(1+E16)^2</f>
        <v/>
      </c>
      <c r="E56" s="300">
        <f>E11*(1+E16)^3</f>
        <v/>
      </c>
    </row>
    <row r="57">
      <c r="B57" s="168" t="inlineStr">
        <is>
          <t>Target DCF contribution before synergies: EBITDA - maintenance capex - cash taxes - interest on assumed debt - new notes interest - preferred distributions - interest on plug</t>
        </is>
      </c>
      <c r="C57" s="300">
        <f>E20-E21-E22-E23*E24-E32*E33-E34*E35-C46*E36</f>
        <v/>
      </c>
    </row>
    <row r="58">
      <c r="B58" s="296" t="inlineStr">
        <is>
          <t>Pro forma DCF to common units</t>
        </is>
      </c>
      <c r="C58" s="301">
        <f>C56+C57+C55</f>
        <v/>
      </c>
      <c r="D58" s="301">
        <f>D56+C57+D55</f>
        <v/>
      </c>
      <c r="E58" s="301">
        <f>E56+C57+E55</f>
        <v/>
      </c>
    </row>
    <row r="59">
      <c r="B59" s="168" t="inlineStr">
        <is>
          <t>Pro forma common units (millions)</t>
        </is>
      </c>
      <c r="C59" s="305">
        <f>E12+E30</f>
        <v/>
      </c>
    </row>
    <row r="60">
      <c r="B60" s="168" t="inlineStr">
        <is>
          <t>Standalone DCF per unit (US$)</t>
        </is>
      </c>
      <c r="C60" s="303">
        <f>C56/E12</f>
        <v/>
      </c>
      <c r="D60" s="303">
        <f>D56/E12</f>
        <v/>
      </c>
      <c r="E60" s="303">
        <f>E56/E12</f>
        <v/>
      </c>
    </row>
    <row r="61">
      <c r="B61" s="296" t="inlineStr">
        <is>
          <t>Pro forma DCF per unit (US$)</t>
        </is>
      </c>
      <c r="C61" s="306">
        <f>C58/C59</f>
        <v/>
      </c>
      <c r="D61" s="306">
        <f>D58/C59</f>
        <v/>
      </c>
      <c r="E61" s="306">
        <f>E58/C59</f>
        <v/>
      </c>
    </row>
    <row r="62">
      <c r="B62" s="296" t="inlineStr">
        <is>
          <t>Accretion / (dilution) to DCF per unit</t>
        </is>
      </c>
      <c r="C62" s="307">
        <f>C61/C60-1</f>
        <v/>
      </c>
      <c r="D62" s="307">
        <f>D61/D60-1</f>
        <v/>
      </c>
      <c r="E62" s="307">
        <f>E61/E60-1</f>
        <v/>
      </c>
      <c r="G62" s="289" t="inlineStr">
        <is>
          <t>Management: 10%+ accretive to DCF per common unit by year 3; immediately accretive (Sunoco, 22 Jan 2024)</t>
        </is>
      </c>
    </row>
    <row r="63">
      <c r="B63" s="168" t="inlineStr">
        <is>
          <t>Distribution per unit (US$)</t>
        </is>
      </c>
      <c r="C63" s="303">
        <f>E13*(1+E17)^1</f>
        <v/>
      </c>
      <c r="D63" s="303">
        <f>E13*(1+E17)^2</f>
        <v/>
      </c>
      <c r="E63" s="303">
        <f>E13*(1+E17)^3</f>
        <v/>
      </c>
    </row>
    <row r="64">
      <c r="B64" s="168" t="inlineStr">
        <is>
          <t>Distributions paid (all common units incl. those issued)</t>
        </is>
      </c>
      <c r="C64" s="300">
        <f>C63*C59</f>
        <v/>
      </c>
      <c r="D64" s="300">
        <f>D63*C59</f>
        <v/>
      </c>
      <c r="E64" s="300">
        <f>E63*C59</f>
        <v/>
      </c>
    </row>
    <row r="65">
      <c r="B65" s="168" t="inlineStr">
        <is>
          <t>Distribution coverage (pro forma DCF / distributions)</t>
        </is>
      </c>
      <c r="C65" s="302">
        <f>C58/C64</f>
        <v/>
      </c>
      <c r="D65" s="302">
        <f>D58/D64</f>
        <v/>
      </c>
      <c r="E65" s="302">
        <f>E58/E64</f>
        <v/>
      </c>
    </row>
    <row r="66">
      <c r="B66" s="168" t="inlineStr">
        <is>
          <t>Excess cash after distributions, applied to debt</t>
        </is>
      </c>
      <c r="C66" s="300">
        <f>C58-C64</f>
        <v/>
      </c>
      <c r="D66" s="300">
        <f>D58-D64</f>
        <v/>
      </c>
      <c r="E66" s="300">
        <f>E58-E64</f>
        <v/>
      </c>
      <c r="G66" s="289" t="inlineStr">
        <is>
          <t>Growth capital expenditure is ignored, so the deleveraging path is the fastest the cash flows allow.</t>
        </is>
      </c>
    </row>
    <row r="68">
      <c r="B68" s="290" t="inlineStr">
        <is>
          <t>PRO FORMA LEVERAGE</t>
        </is>
      </c>
      <c r="C68" s="298" t="inlineStr">
        <is>
          <t>Year 1</t>
        </is>
      </c>
      <c r="D68" s="298" t="inlineStr">
        <is>
          <t>Year 2</t>
        </is>
      </c>
      <c r="E68" s="298" t="inlineStr">
        <is>
          <t>Year 3</t>
        </is>
      </c>
      <c r="F68" s="298" t="inlineStr"/>
      <c r="G68" s="299" t="n"/>
    </row>
    <row r="69">
      <c r="B69" s="296" t="inlineStr">
        <is>
          <t>Net debt at close: acquirer net debt + target debt assumed + new notes + plug</t>
        </is>
      </c>
      <c r="C69" s="301">
        <f>E14+E23+E32+C46</f>
        <v/>
      </c>
    </row>
    <row r="70">
      <c r="B70" s="296" t="inlineStr">
        <is>
          <t>Leverage at close on combined LTM EBITDA, no synergies</t>
        </is>
      </c>
      <c r="C70" s="308">
        <f>C69/(E10+E20)</f>
        <v/>
      </c>
    </row>
    <row r="71">
      <c r="B71" s="168" t="inlineStr">
        <is>
          <t>Leverage at close crediting full run-rate synergies (the convention Sunoco reports)</t>
        </is>
      </c>
      <c r="C71" s="302">
        <f>C69/(E10+E20+E38)</f>
        <v/>
      </c>
    </row>
    <row r="72">
      <c r="B72" s="168" t="inlineStr">
        <is>
          <t>Leverage at close treating the new preferred as debt</t>
        </is>
      </c>
      <c r="C72" s="302">
        <f>(C69+E34)/(E10+E20)</f>
        <v/>
      </c>
    </row>
    <row r="73">
      <c r="B73" s="168" t="inlineStr">
        <is>
          <t>Net debt, end of year (after excess cash applied)</t>
        </is>
      </c>
      <c r="C73" s="300">
        <f>C69-C66</f>
        <v/>
      </c>
      <c r="D73" s="300">
        <f>C69-C66-D66</f>
        <v/>
      </c>
      <c r="E73" s="300">
        <f>C69-C66-D66-E66</f>
        <v/>
      </c>
    </row>
    <row r="74">
      <c r="B74" s="168" t="inlineStr">
        <is>
          <t>Pro forma EBITDA incl. synergies realised</t>
        </is>
      </c>
      <c r="C74" s="300">
        <f>E10*(1+E16)^1+E20+C55</f>
        <v/>
      </c>
      <c r="D74" s="300">
        <f>E10*(1+E16)^2+E20+D55</f>
        <v/>
      </c>
      <c r="E74" s="300">
        <f>E10*(1+E16)^3+E20+E55</f>
        <v/>
      </c>
    </row>
    <row r="75">
      <c r="B75" s="296" t="inlineStr">
        <is>
          <t>Net debt / EBITDA, end of year</t>
        </is>
      </c>
      <c r="C75" s="308">
        <f>C73/C74</f>
        <v/>
      </c>
      <c r="D75" s="308">
        <f>D73/D74</f>
        <v/>
      </c>
      <c r="E75" s="308">
        <f>E73/E74</f>
        <v/>
      </c>
      <c r="G75" s="289" t="inlineStr">
        <is>
          <t>Management: Return to 4.0x long-term leverage target within 12 to 18 months of close (Sunoco, 22 Jan 2024)</t>
        </is>
      </c>
    </row>
    <row r="76">
      <c r="B76" s="168" t="inlineStr">
        <is>
          <t>Including preferred as debt</t>
        </is>
      </c>
      <c r="C76" s="302">
        <f>(C73+E34)/C74</f>
        <v/>
      </c>
      <c r="D76" s="302">
        <f>(D73+E34)/D74</f>
        <v/>
      </c>
      <c r="E76" s="302">
        <f>(E73+E34)/E74</f>
        <v/>
      </c>
    </row>
    <row r="78">
      <c r="B78" s="309" t="inlineStr">
        <is>
          <t>WHAT ACTUALLY HAPPENED</t>
        </is>
      </c>
      <c r="C78" s="310" t="n"/>
      <c r="D78" s="310" t="n"/>
      <c r="E78" s="310" t="n"/>
      <c r="F78" s="310" t="n"/>
      <c r="G78" s="310" t="n"/>
    </row>
    <row r="79" ht="78" customHeight="1" s="148">
      <c r="B79" s="153" t="inlineStr">
        <is>
          <t>Closed 3 May 2024. Sunoco FY2024: Adjusted EBITDA $1,563m excluding transaction costs, DCF as adjusted $1,081m, 136.2m units, leverage 4.1x at 31 Dec 2024. FY2024 DCF per unit of $7.94 on the year-end unit count compares with $7.87 standalone in 2023, with only eight months of NuStar and before most synergies. Purchase accounting: total consideration $2,850m, debt assumed $3,500m at fair value, preferred $801m, goodwill $16m.</t>
        </is>
      </c>
    </row>
    <row r="81">
      <c r="B81" s="296" t="inlineStr">
        <is>
          <t>SOURCES</t>
        </is>
      </c>
    </row>
    <row r="82">
      <c r="B82" s="168" t="inlineStr">
        <is>
          <t>Sunoco LP: to acquire NuStar Energy L.P. in transaction valued at $7.3 billion (22 Jan 2024)</t>
        </is>
      </c>
      <c r="G82" s="289" t="inlineStr">
        <is>
          <t>https://www.sunocolp.com/press-release/item/sunoco-lp-to-acquire-nustar-energy-l.p.-in-transaction-valued-at-7.3-billion-2024</t>
        </is>
      </c>
    </row>
    <row r="83">
      <c r="B83" s="168" t="inlineStr">
        <is>
          <t>Sunoco LP acquisition of NuStar investor presentation (22 Jan 2024)</t>
        </is>
      </c>
      <c r="G83" s="289" t="inlineStr">
        <is>
          <t>https://s24.q4cdn.com/191304019/files/doc_presentations/2024/01/Sunoco-Acquisition-of-NuStar-Investor-Presentation-01-22-24.pdf</t>
        </is>
      </c>
    </row>
    <row r="84">
      <c r="B84" s="168" t="inlineStr">
        <is>
          <t>NuStar Energy DEFM14A proxy statement (Mar 2024)</t>
        </is>
      </c>
      <c r="G84" s="289" t="inlineStr">
        <is>
          <t>https://www.sec.gov/Archives/edgar/data/1110805/000119312524086017/d464008ddefm14a.htm</t>
        </is>
      </c>
    </row>
    <row r="85">
      <c r="B85" s="168" t="inlineStr">
        <is>
          <t>Sunoco LP Q4 and full-year 2023 results (14 Feb 2024)</t>
        </is>
      </c>
      <c r="G85" s="289" t="inlineStr">
        <is>
          <t>https://www.prnewswire.com/news-releases/sunoco-lp-announces-fourth-quarter-and-full-year-2023-financial-and-operating-results-302061250.html</t>
        </is>
      </c>
    </row>
    <row r="86">
      <c r="B86" s="168" t="inlineStr">
        <is>
          <t>NuStar Energy Q4 and full-year 2023 results (14 Feb 2024)</t>
        </is>
      </c>
      <c r="G86" s="289" t="inlineStr">
        <is>
          <t>https://www.businesswire.com/news/home/20240214468139/en/NuStar-Energy-L.P.-Reports-Solid-Fourth-Quarter-and-Full-Year-2023-Earnings-Results</t>
        </is>
      </c>
    </row>
    <row r="87">
      <c r="B87" s="168" t="inlineStr">
        <is>
          <t>NuStar Energy 10-K for 2023</t>
        </is>
      </c>
      <c r="G87" s="289" t="inlineStr">
        <is>
          <t>https://www.sec.gov/Archives/edgar/data/1110805/000111080524000007/ns-20231231.htm</t>
        </is>
      </c>
    </row>
    <row r="88">
      <c r="B88" s="168" t="inlineStr">
        <is>
          <t>Sunoco LP pricing of $1.5bn senior notes (Apr 2024)</t>
        </is>
      </c>
      <c r="G88" s="289" t="inlineStr">
        <is>
          <t>https://www.prnewswire.com/news-releases/sunoco-lp-announces-pricing-of-private-offering-of-senior-notes-302118723.html</t>
        </is>
      </c>
    </row>
    <row r="89">
      <c r="B89" s="168" t="inlineStr">
        <is>
          <t>Sunoco LP completes NuStar acquisition, 4% distribution increase (3 May 2024)</t>
        </is>
      </c>
      <c r="G89" s="289" t="inlineStr">
        <is>
          <t>https://www.prnewswire.com/news-releases/sunoco-lp-completes-acquisition-of-nustar-energy-lp-announces-a-4-increase-in-quarterly-distribution-302135594.html</t>
        </is>
      </c>
    </row>
    <row r="90">
      <c r="B90" s="168" t="inlineStr">
        <is>
          <t>Sunoco LP purchase of NuStar preferred units and redemption of subordinated notes (May 2024)</t>
        </is>
      </c>
      <c r="G90" s="289" t="inlineStr">
        <is>
          <t>https://www.prnewswire.com/news-releases/sunoco-lp-announces-purchase-of-nustar-preferred-units-and-full-redemption-of-nustar-logistics-subordinated-notes-302135935.html</t>
        </is>
      </c>
    </row>
    <row r="91">
      <c r="B91" s="168" t="inlineStr">
        <is>
          <t>Sunoco LP 10-Q Q3 2024 (purchase price allocation)</t>
        </is>
      </c>
      <c r="G91" s="289" t="inlineStr">
        <is>
          <t>https://www.sec.gov/Archives/edgar/data/1552275/000155227524000086/sun-20240930.htm</t>
        </is>
      </c>
    </row>
    <row r="92">
      <c r="B92" s="168" t="inlineStr">
        <is>
          <t>Sunoco LP Q4 and full-year 2024 results (Feb 2025)</t>
        </is>
      </c>
      <c r="G92" s="289" t="inlineStr">
        <is>
          <t>https://www.sunocolp.com/press-release/item/sunoco-lp-reports-fourth-quarter-and-record-full-year-2024-financial-and-operating-results-2025</t>
        </is>
      </c>
    </row>
  </sheetData>
  <mergeCells count="2">
    <mergeCell ref="B3:G3"/>
    <mergeCell ref="B79:G79"/>
  </mergeCells>
  <hyperlinks>
    <hyperlink xmlns:r="http://schemas.openxmlformats.org/officeDocument/2006/relationships" ref="G82" r:id="rId1"/>
    <hyperlink xmlns:r="http://schemas.openxmlformats.org/officeDocument/2006/relationships" ref="G83" r:id="rId2"/>
    <hyperlink xmlns:r="http://schemas.openxmlformats.org/officeDocument/2006/relationships" ref="G84" r:id="rId3"/>
    <hyperlink xmlns:r="http://schemas.openxmlformats.org/officeDocument/2006/relationships" ref="G85" r:id="rId4"/>
    <hyperlink xmlns:r="http://schemas.openxmlformats.org/officeDocument/2006/relationships" ref="G86" r:id="rId5"/>
    <hyperlink xmlns:r="http://schemas.openxmlformats.org/officeDocument/2006/relationships" ref="G87" r:id="rId6"/>
    <hyperlink xmlns:r="http://schemas.openxmlformats.org/officeDocument/2006/relationships" ref="G88" r:id="rId7"/>
    <hyperlink xmlns:r="http://schemas.openxmlformats.org/officeDocument/2006/relationships" ref="G89" r:id="rId8"/>
    <hyperlink xmlns:r="http://schemas.openxmlformats.org/officeDocument/2006/relationships" ref="G90" r:id="rId9"/>
    <hyperlink xmlns:r="http://schemas.openxmlformats.org/officeDocument/2006/relationships" ref="G91" r:id="rId10"/>
    <hyperlink xmlns:r="http://schemas.openxmlformats.org/officeDocument/2006/relationships" ref="G92" r:id="rId1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G9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148" min="1" max="1"/>
    <col width="46" customWidth="1" style="148" min="2" max="2"/>
    <col width="14" customWidth="1" style="148" min="3" max="3"/>
    <col width="14" customWidth="1" style="148" min="4" max="4"/>
    <col width="14" customWidth="1" style="148" min="5" max="5"/>
    <col width="6" customWidth="1" style="148" min="6" max="6"/>
    <col width="90" customWidth="1" style="148" min="7" max="7"/>
    <col width="2" customWidth="1" style="148" min="8" max="8"/>
    <col width="2" customWidth="1" style="148" min="9" max="9"/>
  </cols>
  <sheetData>
    <row r="2">
      <c r="B2" s="286" t="inlineStr">
        <is>
          <t>Sunoco LP / Parkland Corporation (2025) — acquisition model: accretion / dilution and pro forma leverage</t>
        </is>
      </c>
    </row>
    <row r="3" ht="64" customHeight="1" s="148">
      <c r="B3" s="287" t="inlineStr">
        <is>
          <t>NOT AN LBO. Cross-border cash-and-units acquisition by plan of arrangement: C$19.80 cash plus 0.295 SunocoCorp units per Parkland share, funded with $1.9bn of senior notes and $1.5bn of 7.875% perpetual preferred. Not an LBO. The model tests the two numbers Sunoco put on the table: 10%+ DCF-per-unit accretion by year 3 and a return to 4.0x leverage. Parkland reports in C$ under IFRS; EBITDA and net debt are taken on Parkland's own lease-excluded "Leverage" basis so they are comparable with Sunoco's US GAAP figures.</t>
        </is>
      </c>
      <c r="C3" s="288" t="n"/>
      <c r="D3" s="288" t="n"/>
      <c r="E3" s="288" t="n"/>
      <c r="F3" s="288" t="n"/>
      <c r="G3" s="288" t="n"/>
    </row>
    <row r="4">
      <c r="B4" s="289" t="inlineStr">
        <is>
          <t>US$ millions unless stated. Blue on yellow = assumption; black = filed or derived from filed figures (see tag and source). Change any blue cell and the model recalculates.</t>
        </is>
      </c>
    </row>
    <row r="6">
      <c r="B6" s="290" t="inlineStr">
        <is>
          <t>EXCHANGE RATE</t>
        </is>
      </c>
      <c r="C6" s="290" t="inlineStr">
        <is>
          <t>Native</t>
        </is>
      </c>
      <c r="D6" s="290" t="inlineStr">
        <is>
          <t>Ccy</t>
        </is>
      </c>
      <c r="E6" s="290" t="inlineStr">
        <is>
          <t>US$</t>
        </is>
      </c>
      <c r="F6" s="290" t="inlineStr">
        <is>
          <t>Tag</t>
        </is>
      </c>
      <c r="G6" s="290" t="inlineStr">
        <is>
          <t>Source</t>
        </is>
      </c>
    </row>
    <row r="7">
      <c r="B7" s="168" t="inlineStr">
        <is>
          <t>USD/CAD (C$ per US$1)</t>
        </is>
      </c>
      <c r="C7" s="311" t="n">
        <v>1.3813</v>
      </c>
      <c r="D7" s="289" t="inlineStr">
        <is>
          <t>USD</t>
        </is>
      </c>
      <c r="E7" s="311">
        <f>C7</f>
        <v/>
      </c>
      <c r="F7" s="289" t="inlineStr">
        <is>
          <t>F</t>
        </is>
      </c>
      <c r="G7" s="292" t="inlineStr">
        <is>
          <t>Bank of Canada USD/CAD daily rate, 5 May 2025 (announcement date); 1.4018 at close 31 Oct 2025</t>
        </is>
      </c>
    </row>
    <row r="9">
      <c r="B9" s="290" t="inlineStr">
        <is>
          <t>ACQUIRER STANDALONE — Sunoco LP, latest twelve months before announcement (2025-05-05)</t>
        </is>
      </c>
      <c r="C9" s="290" t="inlineStr">
        <is>
          <t>Native</t>
        </is>
      </c>
      <c r="D9" s="290" t="inlineStr">
        <is>
          <t>Ccy</t>
        </is>
      </c>
      <c r="E9" s="290" t="inlineStr">
        <is>
          <t>US$</t>
        </is>
      </c>
      <c r="F9" s="290" t="inlineStr">
        <is>
          <t>Tag</t>
        </is>
      </c>
      <c r="G9" s="290" t="inlineStr">
        <is>
          <t>Source</t>
        </is>
      </c>
    </row>
    <row r="10">
      <c r="B10" s="168" t="inlineStr">
        <is>
          <t>Adjusted EBITDA</t>
        </is>
      </c>
      <c r="C10" s="291" t="n">
        <v>1774</v>
      </c>
      <c r="D10" s="289" t="inlineStr">
        <is>
          <t>USD</t>
        </is>
      </c>
      <c r="E10" s="291">
        <f>C10</f>
        <v/>
      </c>
      <c r="F10" s="289" t="inlineStr">
        <is>
          <t>D</t>
        </is>
      </c>
      <c r="G10" s="292" t="inlineStr">
        <is>
          <t>Sunoco LTM to 31 Mar 2025, Adjusted EBITDA excluding transaction expenses: Q2-24 $400m, Q3-24 $470m, Q4-24 $446m, Q1-25 $458m</t>
        </is>
      </c>
    </row>
    <row r="11">
      <c r="B11" s="168" t="inlineStr">
        <is>
          <t>Distributable cash flow, as adjusted</t>
        </is>
      </c>
      <c r="C11" s="291" t="n">
        <v>1215</v>
      </c>
      <c r="D11" s="289" t="inlineStr">
        <is>
          <t>USD</t>
        </is>
      </c>
      <c r="E11" s="291">
        <f>C11</f>
        <v/>
      </c>
      <c r="F11" s="289" t="inlineStr">
        <is>
          <t>D</t>
        </is>
      </c>
      <c r="G11" s="292" t="inlineStr">
        <is>
          <t>Sunoco LTM to 31 Mar 2025, DCF as adjusted: Q2-24 $295m, Q3-24 $349m, Q4-24 $261m, Q1-25 $310m</t>
        </is>
      </c>
    </row>
    <row r="12">
      <c r="B12" s="168" t="inlineStr">
        <is>
          <t>Common units outstanding (millions)</t>
        </is>
      </c>
      <c r="C12" s="293" t="n">
        <v>136.6</v>
      </c>
      <c r="D12" s="289" t="inlineStr">
        <is>
          <t>USD</t>
        </is>
      </c>
      <c r="E12" s="293">
        <f>C12</f>
        <v/>
      </c>
      <c r="F12" s="289" t="inlineStr">
        <is>
          <t>F</t>
        </is>
      </c>
      <c r="G12" s="292" t="inlineStr">
        <is>
          <t>Sunoco Q2 2025 results: 136,603,182 common units outstanding at 30 Jun 2025</t>
        </is>
      </c>
    </row>
    <row r="13">
      <c r="B13" s="168" t="inlineStr">
        <is>
          <t>Annualised distribution per unit (US$)</t>
        </is>
      </c>
      <c r="C13" s="294" t="n">
        <v>3.59</v>
      </c>
      <c r="D13" s="289" t="inlineStr">
        <is>
          <t>USD</t>
        </is>
      </c>
      <c r="E13" s="294">
        <f>C13</f>
        <v/>
      </c>
      <c r="F13" s="289" t="inlineStr">
        <is>
          <t>F</t>
        </is>
      </c>
      <c r="G13" s="292" t="inlineStr">
        <is>
          <t>Sunoco Q1 2025 distribution $0.8976 per unit, annualised</t>
        </is>
      </c>
    </row>
    <row r="14">
      <c r="B14" s="168" t="inlineStr">
        <is>
          <t>Net debt</t>
        </is>
      </c>
      <c r="C14" s="291" t="n">
        <v>7689</v>
      </c>
      <c r="D14" s="289" t="inlineStr">
        <is>
          <t>USD</t>
        </is>
      </c>
      <c r="E14" s="291">
        <f>C14</f>
        <v/>
      </c>
      <c r="F14" s="289" t="inlineStr">
        <is>
          <t>D</t>
        </is>
      </c>
      <c r="G14" s="292" t="inlineStr">
        <is>
          <t>Sunoco 30 Jun 2025: long-term debt, net $7,803m plus current maturities $2m less cash $116m</t>
        </is>
      </c>
    </row>
    <row r="15">
      <c r="B15" s="168" t="inlineStr">
        <is>
          <t>Unit price at announcement (US$)</t>
        </is>
      </c>
      <c r="C15" s="294" t="n">
        <v>57.74</v>
      </c>
      <c r="D15" s="289" t="inlineStr">
        <is>
          <t>USD</t>
        </is>
      </c>
      <c r="E15" s="294">
        <f>C15</f>
        <v/>
      </c>
      <c r="F15" s="289" t="inlineStr">
        <is>
          <t>D</t>
        </is>
      </c>
      <c r="G15" s="292" t="inlineStr">
        <is>
          <t>Implied from the announced C$43.33 blended value: (43.33 - 19.80) / 0.295 = C$79.76 per unit, at 1.3813</t>
        </is>
      </c>
    </row>
    <row r="16">
      <c r="B16" s="168" t="inlineStr">
        <is>
          <t>Standalone DCF and EBITDA growth p.a. (accretion measured against this)</t>
        </is>
      </c>
      <c r="C16" s="295" t="n">
        <v>0</v>
      </c>
      <c r="D16" s="289" t="inlineStr">
        <is>
          <t>USD</t>
        </is>
      </c>
      <c r="E16" s="172">
        <f>C16</f>
        <v/>
      </c>
      <c r="F16" s="296" t="inlineStr">
        <is>
          <t>A</t>
        </is>
      </c>
      <c r="G16" s="292" t="inlineStr">
        <is>
          <t>Standalone DCF held flat so accretion isolates the deal</t>
        </is>
      </c>
    </row>
    <row r="17">
      <c r="B17" s="168" t="inlineStr">
        <is>
          <t>Distribution growth p.a.</t>
        </is>
      </c>
      <c r="C17" s="172" t="n">
        <v>0.05</v>
      </c>
      <c r="D17" s="289" t="inlineStr">
        <is>
          <t>USD</t>
        </is>
      </c>
      <c r="E17" s="172">
        <f>C17</f>
        <v/>
      </c>
      <c r="F17" s="289" t="inlineStr">
        <is>
          <t>F</t>
        </is>
      </c>
      <c r="G17" s="292" t="inlineStr">
        <is>
          <t>Sunoco raised the quarterly distribution about 1.25% per quarter through 2025 ($0.8865 to $0.9317)</t>
        </is>
      </c>
    </row>
    <row r="19">
      <c r="B19" s="290" t="inlineStr">
        <is>
          <t>TARGET — Parkland Corporation, latest twelve months before announcement</t>
        </is>
      </c>
      <c r="C19" s="290" t="inlineStr">
        <is>
          <t>Native</t>
        </is>
      </c>
      <c r="D19" s="290" t="inlineStr">
        <is>
          <t>Ccy</t>
        </is>
      </c>
      <c r="E19" s="290" t="inlineStr">
        <is>
          <t>US$</t>
        </is>
      </c>
      <c r="F19" s="290" t="inlineStr">
        <is>
          <t>Tag</t>
        </is>
      </c>
      <c r="G19" s="290" t="inlineStr">
        <is>
          <t>Source</t>
        </is>
      </c>
    </row>
    <row r="20">
      <c r="B20" s="168" t="inlineStr">
        <is>
          <t>Adjusted EBITDA (lease-excluded basis where target reports IFRS)</t>
        </is>
      </c>
      <c r="C20" s="291" t="n">
        <v>1468</v>
      </c>
      <c r="D20" s="289" t="inlineStr">
        <is>
          <t>CAD</t>
        </is>
      </c>
      <c r="E20" s="291">
        <f>C20/E7</f>
        <v/>
      </c>
      <c r="F20" s="289" t="inlineStr">
        <is>
          <t>F</t>
        </is>
      </c>
      <c r="G20" s="292" t="inlineStr">
        <is>
          <t>Parkland Q2 2025 release: Leverage EBITDA (TTM Adjusted EBITDA less IFRS 16 lease reversal) C$1,468m at 30 Jun 2025; headline Adjusted EBITDA TTM C$1,742m</t>
        </is>
      </c>
    </row>
    <row r="21">
      <c r="B21" s="168" t="inlineStr">
        <is>
          <t>Maintenance capital expenditure</t>
        </is>
      </c>
      <c r="C21" s="291" t="n">
        <v>279</v>
      </c>
      <c r="D21" s="289" t="inlineStr">
        <is>
          <t>CAD</t>
        </is>
      </c>
      <c r="E21" s="291">
        <f>C21/E7</f>
        <v/>
      </c>
      <c r="F21" s="289" t="inlineStr">
        <is>
          <t>F</t>
        </is>
      </c>
      <c r="G21" s="292" t="inlineStr">
        <is>
          <t>Parkland FY2024 maintenance capital expenditures C$279m</t>
        </is>
      </c>
    </row>
    <row r="22">
      <c r="B22" s="168" t="inlineStr">
        <is>
          <t>Cash taxes</t>
        </is>
      </c>
      <c r="C22" s="291" t="n">
        <v>60</v>
      </c>
      <c r="D22" s="289" t="inlineStr">
        <is>
          <t>CAD</t>
        </is>
      </c>
      <c r="E22" s="291">
        <f>C22/E7</f>
        <v/>
      </c>
      <c r="F22" s="289" t="inlineStr">
        <is>
          <t>F</t>
        </is>
      </c>
      <c r="G22" s="292" t="inlineStr">
        <is>
          <t>Parkland FY2024 income taxes paid C$60m (cash flow statement)</t>
        </is>
      </c>
    </row>
    <row r="23">
      <c r="B23" s="168" t="inlineStr">
        <is>
          <t>Target net debt assumed and left outstanding</t>
        </is>
      </c>
      <c r="C23" s="291" t="n">
        <v>4979</v>
      </c>
      <c r="D23" s="289" t="inlineStr">
        <is>
          <t>CAD</t>
        </is>
      </c>
      <c r="E23" s="291">
        <f>C23/E7</f>
        <v/>
      </c>
      <c r="F23" s="289" t="inlineStr">
        <is>
          <t>F</t>
        </is>
      </c>
      <c r="G23" s="292" t="inlineStr">
        <is>
          <t>Parkland Q2 2025 release: Leverage Debt C$4,979m at 30 Jun 2025 (long-term debt excluding leases, net of cash); Sunoco deck: about $3.5bn of Parkland net debt assumed</t>
        </is>
      </c>
    </row>
    <row r="24">
      <c r="B24" s="168" t="inlineStr">
        <is>
          <t>Cash interest rate on assumed debt</t>
        </is>
      </c>
      <c r="C24" s="295" t="n">
        <v>0.055</v>
      </c>
      <c r="D24" s="289" t="inlineStr">
        <is>
          <t>USD</t>
        </is>
      </c>
      <c r="E24" s="172">
        <f>C24</f>
        <v/>
      </c>
      <c r="F24" s="296" t="inlineStr">
        <is>
          <t>A</t>
        </is>
      </c>
      <c r="G24" s="292" t="inlineStr">
        <is>
          <t>Parkland senior notes carry coupons between 4.375% and 6.625%; 5.5% blended is an assumption</t>
        </is>
      </c>
    </row>
    <row r="25">
      <c r="B25" s="168" t="inlineStr">
        <is>
          <t>Target instruments refinanced at close (preferred, subordinated notes, revolver)</t>
        </is>
      </c>
      <c r="C25" s="291" t="n">
        <v>0</v>
      </c>
      <c r="D25" s="289" t="inlineStr">
        <is>
          <t>USD</t>
        </is>
      </c>
      <c r="E25" s="291">
        <f>C25</f>
        <v/>
      </c>
      <c r="F25" s="289" t="inlineStr">
        <is>
          <t>F</t>
        </is>
      </c>
      <c r="G25" s="292" t="inlineStr">
        <is>
          <t>Parkland senior notes remained outstanding after consent solicitations; Sunoco 10-K shows about $3.65bn of assumed Parkland notes</t>
        </is>
      </c>
    </row>
    <row r="26">
      <c r="B26" s="168" t="inlineStr">
        <is>
          <t>Target shares / units outstanding (millions)</t>
        </is>
      </c>
      <c r="C26" s="297" t="n">
        <v>174.6</v>
      </c>
      <c r="D26" s="289" t="inlineStr">
        <is>
          <t>USD</t>
        </is>
      </c>
      <c r="E26" s="297">
        <f>C26</f>
        <v/>
      </c>
      <c r="F26" s="289" t="inlineStr">
        <is>
          <t>F</t>
        </is>
      </c>
      <c r="G26" s="292" t="inlineStr">
        <is>
          <t>Parkland circular record-date count 174,425,568; implied at close 174.6m (C$3,457.8m cash / C$19.80)</t>
        </is>
      </c>
    </row>
    <row r="27">
      <c r="B27" s="168" t="inlineStr">
        <is>
          <t>Target share price before announcement (native currency)</t>
        </is>
      </c>
      <c r="C27" s="294" t="n">
        <v>34.66</v>
      </c>
      <c r="D27" s="289" t="inlineStr">
        <is>
          <t>CAD</t>
        </is>
      </c>
      <c r="E27" s="294">
        <f>C27/E7</f>
        <v/>
      </c>
      <c r="F27" s="289" t="inlineStr">
        <is>
          <t>D</t>
        </is>
      </c>
      <c r="G27" s="292" t="inlineStr">
        <is>
          <t>Derived: C$43.33 implied value was a 25% premium to 7-day VWAPs as of 2 May 2025</t>
        </is>
      </c>
    </row>
    <row r="29">
      <c r="B29" s="290" t="inlineStr">
        <is>
          <t>DEAL TERMS AND FINANCING</t>
        </is>
      </c>
      <c r="C29" s="290" t="inlineStr">
        <is>
          <t>Native</t>
        </is>
      </c>
      <c r="D29" s="290" t="inlineStr">
        <is>
          <t>Ccy</t>
        </is>
      </c>
      <c r="E29" s="290" t="inlineStr">
        <is>
          <t>US$</t>
        </is>
      </c>
      <c r="F29" s="290" t="inlineStr">
        <is>
          <t>Tag</t>
        </is>
      </c>
      <c r="G29" s="290" t="inlineStr">
        <is>
          <t>Source</t>
        </is>
      </c>
    </row>
    <row r="30">
      <c r="B30" s="168" t="inlineStr">
        <is>
          <t>Acquirer units issued to target holders (millions)</t>
        </is>
      </c>
      <c r="C30" s="293" t="n">
        <v>51.517</v>
      </c>
      <c r="D30" s="289" t="inlineStr">
        <is>
          <t>USD</t>
        </is>
      </c>
      <c r="E30" s="293">
        <f>C30</f>
        <v/>
      </c>
      <c r="F30" s="289" t="inlineStr">
        <is>
          <t>F</t>
        </is>
      </c>
      <c r="G30" s="292" t="inlineStr">
        <is>
          <t>Parkland completion release, 31 Oct 2025: 51,517,198 SunocoCorp units issued; each mirrors one Sunoco LP common unit and receives the same distribution</t>
        </is>
      </c>
    </row>
    <row r="31">
      <c r="B31" s="168" t="inlineStr">
        <is>
          <t>Cash consideration to target holders</t>
        </is>
      </c>
      <c r="C31" s="291" t="n">
        <v>3457.8</v>
      </c>
      <c r="D31" s="289" t="inlineStr">
        <is>
          <t>CAD</t>
        </is>
      </c>
      <c r="E31" s="291">
        <f>C31/E7</f>
        <v/>
      </c>
      <c r="F31" s="289" t="inlineStr">
        <is>
          <t>F</t>
        </is>
      </c>
      <c r="G31" s="292" t="inlineStr">
        <is>
          <t>Parkland completion release: C$3,457,770,643.42 paid in cash</t>
        </is>
      </c>
    </row>
    <row r="32">
      <c r="B32" s="168" t="inlineStr">
        <is>
          <t>New senior notes issued</t>
        </is>
      </c>
      <c r="C32" s="291" t="n">
        <v>1900</v>
      </c>
      <c r="D32" s="289" t="inlineStr">
        <is>
          <t>USD</t>
        </is>
      </c>
      <c r="E32" s="291">
        <f>C32</f>
        <v/>
      </c>
      <c r="F32" s="289" t="inlineStr">
        <is>
          <t>F</t>
        </is>
      </c>
      <c r="G32" s="292" t="inlineStr">
        <is>
          <t>Sunoco senior notes priced 4 Sep 2025: $1.0bn 5.625% due 2031 and $900m 5.875% due 2034</t>
        </is>
      </c>
    </row>
    <row r="33">
      <c r="B33" s="168" t="inlineStr">
        <is>
          <t>Blended coupon on new notes</t>
        </is>
      </c>
      <c r="C33" s="172" t="n">
        <v>0.05743</v>
      </c>
      <c r="D33" s="289" t="inlineStr">
        <is>
          <t>USD</t>
        </is>
      </c>
      <c r="E33" s="172">
        <f>C33</f>
        <v/>
      </c>
      <c r="F33" s="289" t="inlineStr">
        <is>
          <t>D</t>
        </is>
      </c>
      <c r="G33" s="292" t="inlineStr">
        <is>
          <t>Blended coupon of the two tranches</t>
        </is>
      </c>
    </row>
    <row r="34">
      <c r="B34" s="168" t="inlineStr">
        <is>
          <t>New preferred equity issued</t>
        </is>
      </c>
      <c r="C34" s="291" t="n">
        <v>1500</v>
      </c>
      <c r="D34" s="289" t="inlineStr">
        <is>
          <t>USD</t>
        </is>
      </c>
      <c r="E34" s="291">
        <f>C34</f>
        <v/>
      </c>
      <c r="F34" s="289" t="inlineStr">
        <is>
          <t>F</t>
        </is>
      </c>
      <c r="G34" s="292" t="inlineStr">
        <is>
          <t>Sunoco Series A 7.875% fixed-rate reset perpetual preferred units, 1.5m units at $1,000, Sep 2025</t>
        </is>
      </c>
    </row>
    <row r="35">
      <c r="B35" s="168" t="inlineStr">
        <is>
          <t>Preferred distribution rate</t>
        </is>
      </c>
      <c r="C35" s="172" t="n">
        <v>0.07875</v>
      </c>
      <c r="D35" s="289" t="inlineStr">
        <is>
          <t>USD</t>
        </is>
      </c>
      <c r="E35" s="172">
        <f>C35</f>
        <v/>
      </c>
      <c r="F35" s="289" t="inlineStr">
        <is>
          <t>F</t>
        </is>
      </c>
      <c r="G35" s="292" t="inlineStr">
        <is>
          <t>Fixed to 18 Sep 2030, then five-year Treasury plus 4.230%</t>
        </is>
      </c>
    </row>
    <row r="36">
      <c r="B36" s="168" t="inlineStr">
        <is>
          <t>Rate on revolver plug / cash retained</t>
        </is>
      </c>
      <c r="C36" s="295" t="n">
        <v>0.06</v>
      </c>
      <c r="D36" s="289" t="inlineStr">
        <is>
          <t>USD</t>
        </is>
      </c>
      <c r="E36" s="172">
        <f>C36</f>
        <v/>
      </c>
      <c r="F36" s="296" t="inlineStr">
        <is>
          <t>A</t>
        </is>
      </c>
      <c r="G36" s="292" t="inlineStr">
        <is>
          <t>Rate on the revolver balance that absorbs any surplus or shortfall between sources and uses</t>
        </is>
      </c>
    </row>
    <row r="37">
      <c r="B37" s="168" t="inlineStr">
        <is>
          <t>Transaction and financing costs</t>
        </is>
      </c>
      <c r="C37" s="312" t="n">
        <v>100</v>
      </c>
      <c r="D37" s="289" t="inlineStr">
        <is>
          <t>USD</t>
        </is>
      </c>
      <c r="E37" s="291">
        <f>C37</f>
        <v/>
      </c>
      <c r="F37" s="296" t="inlineStr">
        <is>
          <t>A</t>
        </is>
      </c>
      <c r="G37" s="292" t="inlineStr">
        <is>
          <t>Transaction and financing costs; Sunoco booked bridge, advisory and integration costs in 2025</t>
        </is>
      </c>
    </row>
    <row r="38">
      <c r="B38" s="168" t="inlineStr">
        <is>
          <t>Run-rate synergies by year 3</t>
        </is>
      </c>
      <c r="C38" s="291" t="n">
        <v>250</v>
      </c>
      <c r="D38" s="289" t="inlineStr">
        <is>
          <t>USD</t>
        </is>
      </c>
      <c r="E38" s="291">
        <f>C38</f>
        <v/>
      </c>
      <c r="F38" s="289" t="inlineStr">
        <is>
          <t>F</t>
        </is>
      </c>
      <c r="G38" s="292" t="inlineStr">
        <is>
          <t>Sunoco 5 May 2025 release: at least $250m of run-rate synergies by year 3</t>
        </is>
      </c>
    </row>
    <row r="39">
      <c r="B39" s="168" t="inlineStr">
        <is>
          <t>Synergy realisation, year 1</t>
        </is>
      </c>
      <c r="C39" s="172" t="n">
        <v>0.5</v>
      </c>
      <c r="D39" s="289" t="inlineStr">
        <is>
          <t>USD</t>
        </is>
      </c>
      <c r="E39" s="172">
        <f>C39</f>
        <v/>
      </c>
      <c r="F39" s="289" t="inlineStr">
        <is>
          <t>F</t>
        </is>
      </c>
      <c r="G39" s="292" t="inlineStr">
        <is>
          <t>Sunoco 2026 guidance includes approximately $125m of Parkland synergies, i.e. half the run-rate in year 1</t>
        </is>
      </c>
    </row>
    <row r="40">
      <c r="B40" s="168" t="inlineStr">
        <is>
          <t>Synergy realisation, year 2</t>
        </is>
      </c>
      <c r="C40" s="295" t="n">
        <v>0.75</v>
      </c>
      <c r="D40" s="289" t="inlineStr">
        <is>
          <t>USD</t>
        </is>
      </c>
      <c r="E40" s="172">
        <f>C40</f>
        <v/>
      </c>
      <c r="F40" s="296" t="inlineStr">
        <is>
          <t>A</t>
        </is>
      </c>
      <c r="G40" s="292" t="inlineStr">
        <is>
          <t>Year-2 realisation, straight-line to the year-3 run-rate</t>
        </is>
      </c>
    </row>
    <row r="41">
      <c r="B41" s="168" t="inlineStr">
        <is>
          <t>Synergy realisation, year 3</t>
        </is>
      </c>
      <c r="C41" s="172" t="n">
        <v>1</v>
      </c>
      <c r="D41" s="289" t="inlineStr">
        <is>
          <t>USD</t>
        </is>
      </c>
      <c r="E41" s="172">
        <f>C41</f>
        <v/>
      </c>
      <c r="F41" s="289" t="inlineStr">
        <is>
          <t>F</t>
        </is>
      </c>
      <c r="G41" s="292" t="inlineStr">
        <is>
          <t>Year-3 run-rate as stated ("by 2028" on the Q3 2025 call)</t>
        </is>
      </c>
    </row>
    <row r="43">
      <c r="B43" s="290" t="inlineStr">
        <is>
          <t>SOURCES AND USES AT CLOSE</t>
        </is>
      </c>
      <c r="C43" s="298" t="inlineStr">
        <is>
          <t>Value</t>
        </is>
      </c>
      <c r="D43" s="298" t="inlineStr"/>
      <c r="E43" s="298" t="inlineStr"/>
      <c r="F43" s="298" t="inlineStr"/>
      <c r="G43" s="299" t="n"/>
    </row>
    <row r="44">
      <c r="B44" s="168" t="inlineStr">
        <is>
          <t>Uses: cash to target holders + refinanced target instruments + fees</t>
        </is>
      </c>
      <c r="C44" s="300">
        <f>E31+E25+E37</f>
        <v/>
      </c>
    </row>
    <row r="45">
      <c r="B45" s="168" t="inlineStr">
        <is>
          <t>Sources: new senior notes + new preferred</t>
        </is>
      </c>
      <c r="C45" s="300">
        <f>E32+E34</f>
        <v/>
      </c>
    </row>
    <row r="46">
      <c r="B46" s="296" t="inlineStr">
        <is>
          <t>Revolver draw (positive) or cash retained (negative) to balance</t>
        </is>
      </c>
      <c r="C46" s="301">
        <f>C44-C45</f>
        <v/>
      </c>
      <c r="G46" s="289" t="inlineStr">
        <is>
          <t>Negative means the financing raised more than the cash uses; the surplus reduces net debt, as Sunoco did by repaying its revolver.</t>
        </is>
      </c>
    </row>
    <row r="47">
      <c r="B47" s="168" t="inlineStr">
        <is>
          <t>Value of acquirer units issued at announcement price</t>
        </is>
      </c>
      <c r="C47" s="300">
        <f>E30*E15</f>
        <v/>
      </c>
    </row>
    <row r="48">
      <c r="B48" s="296" t="inlineStr">
        <is>
          <t>Target enterprise value at offer (units + cash + debt assumed + refinanced instruments)</t>
        </is>
      </c>
      <c r="C48" s="301">
        <f>C47+E31+E23+E25</f>
        <v/>
      </c>
    </row>
    <row r="49">
      <c r="B49" s="168" t="inlineStr">
        <is>
          <t>EV / target LTM EBITDA</t>
        </is>
      </c>
      <c r="C49" s="302">
        <f>C48/E20</f>
        <v/>
      </c>
    </row>
    <row r="50">
      <c r="B50" s="168" t="inlineStr">
        <is>
          <t>EV / (target LTM EBITDA + run-rate synergies)</t>
        </is>
      </c>
      <c r="C50" s="302">
        <f>C48/(E20+E38)</f>
        <v/>
      </c>
    </row>
    <row r="51">
      <c r="B51" s="168" t="inlineStr">
        <is>
          <t>Offer value per target share (native currency)</t>
        </is>
      </c>
      <c r="C51" s="303">
        <f>(C47+E31)/E26*E7</f>
        <v/>
      </c>
    </row>
    <row r="52">
      <c r="B52" s="168" t="inlineStr">
        <is>
          <t>Premium to pre-announcement price</t>
        </is>
      </c>
      <c r="C52" s="304">
        <f>C51/C27-1</f>
        <v/>
      </c>
    </row>
    <row r="54">
      <c r="B54" s="290" t="inlineStr">
        <is>
          <t>PRO FORMA DISTRIBUTABLE CASH FLOW PER UNIT</t>
        </is>
      </c>
      <c r="C54" s="298" t="inlineStr">
        <is>
          <t>Year 1</t>
        </is>
      </c>
      <c r="D54" s="298" t="inlineStr">
        <is>
          <t>Year 2</t>
        </is>
      </c>
      <c r="E54" s="298" t="inlineStr">
        <is>
          <t>Year 3</t>
        </is>
      </c>
      <c r="F54" s="298" t="inlineStr"/>
      <c r="G54" s="299" t="n"/>
    </row>
    <row r="55">
      <c r="B55" s="168" t="inlineStr">
        <is>
          <t>Synergies realised</t>
        </is>
      </c>
      <c r="C55" s="300">
        <f>E38*E39</f>
        <v/>
      </c>
      <c r="D55" s="300">
        <f>E38*E40</f>
        <v/>
      </c>
      <c r="E55" s="300">
        <f>E38*E41</f>
        <v/>
      </c>
    </row>
    <row r="56">
      <c r="B56" s="168" t="inlineStr">
        <is>
          <t>Acquirer standalone DCF (grown at the standalone rate)</t>
        </is>
      </c>
      <c r="C56" s="300">
        <f>E11*(1+E16)^1</f>
        <v/>
      </c>
      <c r="D56" s="300">
        <f>E11*(1+E16)^2</f>
        <v/>
      </c>
      <c r="E56" s="300">
        <f>E11*(1+E16)^3</f>
        <v/>
      </c>
    </row>
    <row r="57">
      <c r="B57" s="168" t="inlineStr">
        <is>
          <t>Target DCF contribution before synergies: EBITDA - maintenance capex - cash taxes - interest on assumed debt - new notes interest - preferred distributions - interest on plug</t>
        </is>
      </c>
      <c r="C57" s="300">
        <f>E20-E21-E22-E23*E24-E32*E33-E34*E35-C46*E36</f>
        <v/>
      </c>
    </row>
    <row r="58">
      <c r="B58" s="296" t="inlineStr">
        <is>
          <t>Pro forma DCF to common units</t>
        </is>
      </c>
      <c r="C58" s="301">
        <f>C56+C57+C55</f>
        <v/>
      </c>
      <c r="D58" s="301">
        <f>D56+C57+D55</f>
        <v/>
      </c>
      <c r="E58" s="301">
        <f>E56+C57+E55</f>
        <v/>
      </c>
    </row>
    <row r="59">
      <c r="B59" s="168" t="inlineStr">
        <is>
          <t>Pro forma common units (millions)</t>
        </is>
      </c>
      <c r="C59" s="305">
        <f>E12+E30</f>
        <v/>
      </c>
    </row>
    <row r="60">
      <c r="B60" s="168" t="inlineStr">
        <is>
          <t>Standalone DCF per unit (US$)</t>
        </is>
      </c>
      <c r="C60" s="303">
        <f>C56/E12</f>
        <v/>
      </c>
      <c r="D60" s="303">
        <f>D56/E12</f>
        <v/>
      </c>
      <c r="E60" s="303">
        <f>E56/E12</f>
        <v/>
      </c>
    </row>
    <row r="61">
      <c r="B61" s="296" t="inlineStr">
        <is>
          <t>Pro forma DCF per unit (US$)</t>
        </is>
      </c>
      <c r="C61" s="306">
        <f>C58/C59</f>
        <v/>
      </c>
      <c r="D61" s="306">
        <f>D58/C59</f>
        <v/>
      </c>
      <c r="E61" s="306">
        <f>E58/C59</f>
        <v/>
      </c>
    </row>
    <row r="62">
      <c r="B62" s="296" t="inlineStr">
        <is>
          <t>Accretion / (dilution) to DCF per unit</t>
        </is>
      </c>
      <c r="C62" s="307">
        <f>C61/C60-1</f>
        <v/>
      </c>
      <c r="D62" s="307">
        <f>D61/D60-1</f>
        <v/>
      </c>
      <c r="E62" s="307">
        <f>E61/E60-1</f>
        <v/>
      </c>
      <c r="G62" s="289" t="inlineStr">
        <is>
          <t>Management: 10%+ accretive to DCF per common unit by year 3; immediately accretive in year 1 (Sunoco, 5 May 2025)</t>
        </is>
      </c>
    </row>
    <row r="63">
      <c r="B63" s="168" t="inlineStr">
        <is>
          <t>Distribution per unit (US$)</t>
        </is>
      </c>
      <c r="C63" s="303">
        <f>E13*(1+E17)^1</f>
        <v/>
      </c>
      <c r="D63" s="303">
        <f>E13*(1+E17)^2</f>
        <v/>
      </c>
      <c r="E63" s="303">
        <f>E13*(1+E17)^3</f>
        <v/>
      </c>
    </row>
    <row r="64">
      <c r="B64" s="168" t="inlineStr">
        <is>
          <t>Distributions paid (all common units incl. those issued)</t>
        </is>
      </c>
      <c r="C64" s="300">
        <f>C63*C59</f>
        <v/>
      </c>
      <c r="D64" s="300">
        <f>D63*C59</f>
        <v/>
      </c>
      <c r="E64" s="300">
        <f>E63*C59</f>
        <v/>
      </c>
    </row>
    <row r="65">
      <c r="B65" s="168" t="inlineStr">
        <is>
          <t>Distribution coverage (pro forma DCF / distributions)</t>
        </is>
      </c>
      <c r="C65" s="302">
        <f>C58/C64</f>
        <v/>
      </c>
      <c r="D65" s="302">
        <f>D58/D64</f>
        <v/>
      </c>
      <c r="E65" s="302">
        <f>E58/E64</f>
        <v/>
      </c>
    </row>
    <row r="66">
      <c r="B66" s="168" t="inlineStr">
        <is>
          <t>Excess cash after distributions, applied to debt</t>
        </is>
      </c>
      <c r="C66" s="300">
        <f>C58-C64</f>
        <v/>
      </c>
      <c r="D66" s="300">
        <f>D58-D64</f>
        <v/>
      </c>
      <c r="E66" s="300">
        <f>E58-E64</f>
        <v/>
      </c>
      <c r="G66" s="289" t="inlineStr">
        <is>
          <t>Growth capital expenditure is ignored, so the deleveraging path is the fastest the cash flows allow.</t>
        </is>
      </c>
    </row>
    <row r="68">
      <c r="B68" s="290" t="inlineStr">
        <is>
          <t>PRO FORMA LEVERAGE</t>
        </is>
      </c>
      <c r="C68" s="298" t="inlineStr">
        <is>
          <t>Year 1</t>
        </is>
      </c>
      <c r="D68" s="298" t="inlineStr">
        <is>
          <t>Year 2</t>
        </is>
      </c>
      <c r="E68" s="298" t="inlineStr">
        <is>
          <t>Year 3</t>
        </is>
      </c>
      <c r="F68" s="298" t="inlineStr"/>
      <c r="G68" s="299" t="n"/>
    </row>
    <row r="69">
      <c r="B69" s="296" t="inlineStr">
        <is>
          <t>Net debt at close: acquirer net debt + target debt assumed + new notes + plug</t>
        </is>
      </c>
      <c r="C69" s="301">
        <f>E14+E23+E32+C46</f>
        <v/>
      </c>
    </row>
    <row r="70">
      <c r="B70" s="296" t="inlineStr">
        <is>
          <t>Leverage at close on combined LTM EBITDA, no synergies</t>
        </is>
      </c>
      <c r="C70" s="308">
        <f>C69/(E10+E20)</f>
        <v/>
      </c>
    </row>
    <row r="71">
      <c r="B71" s="168" t="inlineStr">
        <is>
          <t>Leverage at close crediting full run-rate synergies (the convention Sunoco reports)</t>
        </is>
      </c>
      <c r="C71" s="302">
        <f>C69/(E10+E20+E38)</f>
        <v/>
      </c>
    </row>
    <row r="72">
      <c r="B72" s="168" t="inlineStr">
        <is>
          <t>Leverage at close treating the new preferred as debt</t>
        </is>
      </c>
      <c r="C72" s="302">
        <f>(C69+E34)/(E10+E20)</f>
        <v/>
      </c>
    </row>
    <row r="73">
      <c r="B73" s="168" t="inlineStr">
        <is>
          <t>Net debt, end of year (after excess cash applied)</t>
        </is>
      </c>
      <c r="C73" s="300">
        <f>C69-C66</f>
        <v/>
      </c>
      <c r="D73" s="300">
        <f>C69-C66-D66</f>
        <v/>
      </c>
      <c r="E73" s="300">
        <f>C69-C66-D66-E66</f>
        <v/>
      </c>
    </row>
    <row r="74">
      <c r="B74" s="168" t="inlineStr">
        <is>
          <t>Pro forma EBITDA incl. synergies realised</t>
        </is>
      </c>
      <c r="C74" s="300">
        <f>E10*(1+E16)^1+E20+C55</f>
        <v/>
      </c>
      <c r="D74" s="300">
        <f>E10*(1+E16)^2+E20+D55</f>
        <v/>
      </c>
      <c r="E74" s="300">
        <f>E10*(1+E16)^3+E20+E55</f>
        <v/>
      </c>
    </row>
    <row r="75">
      <c r="B75" s="296" t="inlineStr">
        <is>
          <t>Net debt / EBITDA, end of year</t>
        </is>
      </c>
      <c r="C75" s="308">
        <f>C73/C74</f>
        <v/>
      </c>
      <c r="D75" s="308">
        <f>D73/D74</f>
        <v/>
      </c>
      <c r="E75" s="308">
        <f>E73/E74</f>
        <v/>
      </c>
      <c r="G75" s="289" t="inlineStr">
        <is>
          <t>Management: Return to the 4.0x long-term leverage target within 12 to 18 months of close (Sunoco, 5 May 2025); "in 2026" per 2026 guidance</t>
        </is>
      </c>
    </row>
    <row r="76">
      <c r="B76" s="168" t="inlineStr">
        <is>
          <t>Including preferred as debt</t>
        </is>
      </c>
      <c r="C76" s="302">
        <f>(C73+E34)/C74</f>
        <v/>
      </c>
      <c r="D76" s="302">
        <f>(D73+E34)/D74</f>
        <v/>
      </c>
      <c r="E76" s="302">
        <f>(E73+E34)/E74</f>
        <v/>
      </c>
    </row>
    <row r="78">
      <c r="B78" s="309" t="inlineStr">
        <is>
          <t>WHAT ACTUALLY HAPPENED</t>
        </is>
      </c>
      <c r="C78" s="310" t="n"/>
      <c r="D78" s="310" t="n"/>
      <c r="E78" s="310" t="n"/>
      <c r="F78" s="310" t="n"/>
      <c r="G78" s="310" t="n"/>
    </row>
    <row r="79" ht="78" customHeight="1" s="148">
      <c r="B79" s="153" t="inlineStr">
        <is>
          <t>Closed 31 Oct 2025. Sunoco at 31 Dec 2025: total debt $13,389m, cash $891m, net leverage ratio 4.03x per the 10-K, 136.9m common units plus 51.5m SunocoCorp units. 2026 guidance: Adjusted EBITDA $3.1bn to $3.3bn including about $125m of Parkland synergies, maintenance capex $400m to $450m, return to 4.0x in 2026. Purchase accounting (10-K): cash paid about $2.60bn, units at $49.44 fair value, Parkland debt assumed $3,797m, cash acquired $464m.</t>
        </is>
      </c>
    </row>
    <row r="81">
      <c r="B81" s="296" t="inlineStr">
        <is>
          <t>SOURCES</t>
        </is>
      </c>
    </row>
    <row r="82">
      <c r="B82" s="168" t="inlineStr">
        <is>
          <t>Sunoco LP: to acquire Parkland Corporation in transaction valued at $9.1 billion (5 May 2025)</t>
        </is>
      </c>
      <c r="G82" s="289" t="inlineStr">
        <is>
          <t>https://www.sunocolp.com/press-release/item/sunoco-lp-to-acquire-parkland-corporation-in-transaction-valued-at-9-1-billion-2025</t>
        </is>
      </c>
    </row>
    <row r="83">
      <c r="B83" s="168" t="inlineStr">
        <is>
          <t>Sunoco Parkland acquisition presentation (May 2025)</t>
        </is>
      </c>
      <c r="G83" s="289" t="inlineStr">
        <is>
          <t>https://assets.ctfassets.net/tatgxebmkmwo/57W38z9yHvAOdECxPg8ft0/92f93573236692778ecd57be0ea3d35b/Parkland_Acquisition_Presentation_FINAL_ADA.pdf</t>
        </is>
      </c>
    </row>
    <row r="84">
      <c r="B84" s="168" t="inlineStr">
        <is>
          <t>SEC Form 425: Sunoco / Parkland call transcript (May 2025)</t>
        </is>
      </c>
      <c r="G84" s="289" t="inlineStr">
        <is>
          <t>https://www.sec.gov/Archives/edgar/data/1552275/000119312525113456/d831300d425.htm</t>
        </is>
      </c>
    </row>
    <row r="85">
      <c r="B85" s="168" t="inlineStr">
        <is>
          <t>Parkland Q2 2025 results (Leverage EBITDA, Leverage Debt)</t>
        </is>
      </c>
      <c r="G85" s="289" t="inlineStr">
        <is>
          <t>https://www.newswire.ca/news-releases/parkland-reports-2025-second-quarter-results-849756245.html</t>
        </is>
      </c>
    </row>
    <row r="86">
      <c r="B86" s="168" t="inlineStr">
        <is>
          <t>Parkland Q4 and full-year 2024 results</t>
        </is>
      </c>
      <c r="G86" s="289" t="inlineStr">
        <is>
          <t>https://www.prnewswire.com/news-releases/parkland-reports-fourth-quarter-and-year-end-2024-results-initiates-review-of-strategic-alternatives-302393768.html</t>
        </is>
      </c>
    </row>
    <row r="87">
      <c r="B87" s="168" t="inlineStr">
        <is>
          <t>Parkland FY2024 financial statements (capex, interest paid, taxes paid)</t>
        </is>
      </c>
      <c r="G87" s="289" t="inlineStr">
        <is>
          <t>https://assets.ctfassets.net/tatgxebmkmwo/ddeRzLN6OsU4YkPplZivb/168544db9ee755da99bc7543f2f712b7/FS_Q4_2024.pdf</t>
        </is>
      </c>
    </row>
    <row r="88">
      <c r="B88" s="168" t="inlineStr">
        <is>
          <t>Parkland management information circular, 26 May 2025</t>
        </is>
      </c>
      <c r="G88" s="289" t="inlineStr">
        <is>
          <t>https://assets.ctfassets.net/tatgxebmkmwo/6593EXMy1JOssY1GwVHKqv/9a17cc7f6e822992764667af88de4da8/2025_Information_Circular_dated_May_26__2025_-_Special_and_Annual_Meeting.pdf</t>
        </is>
      </c>
    </row>
    <row r="89">
      <c r="B89" s="168" t="inlineStr">
        <is>
          <t>Sunoco LP Q2 2025 results</t>
        </is>
      </c>
      <c r="G89" s="289" t="inlineStr">
        <is>
          <t>https://www.sunocolp.com/press-release/item/sunoco-lp-reports-second-quarter-2025-financial-and-operating-results-2025</t>
        </is>
      </c>
    </row>
    <row r="90">
      <c r="B90" s="168" t="inlineStr">
        <is>
          <t>Sunoco LP pricing of upsized $1.9bn senior notes (4 Sep 2025)</t>
        </is>
      </c>
      <c r="G90" s="289" t="inlineStr">
        <is>
          <t>https://www.sunocolp.com/press-release/item/sunoco-lp-announces-pricing-of-upsized-private-offering-of-senior-notes-6fc36d3f3-2025</t>
        </is>
      </c>
    </row>
    <row r="91">
      <c r="B91" s="168" t="inlineStr">
        <is>
          <t>Sunoco LP pricing of upsized $1.5bn preferred equity (Sep 2025)</t>
        </is>
      </c>
      <c r="G91" s="289" t="inlineStr">
        <is>
          <t>https://www.sunocolp.com/press-release/item/sunoco-lp-announces-pricing-of-upsized-preferred-equity-offering-2025</t>
        </is>
      </c>
    </row>
    <row r="92">
      <c r="B92" s="168" t="inlineStr">
        <is>
          <t>Parkland completion of acquisition by Sunoco LP (31 Oct 2025)</t>
        </is>
      </c>
      <c r="G92" s="289" t="inlineStr">
        <is>
          <t>https://www.prnewswire.com/news-releases/parkland-corporation-announces-completion-of-acquisition-by-sunoco-lp-302602282.html</t>
        </is>
      </c>
    </row>
    <row r="93">
      <c r="B93" s="168" t="inlineStr">
        <is>
          <t>Sunoco LP 8-K pro forma financial information (Jan 2026)</t>
        </is>
      </c>
      <c r="G93" s="289" t="inlineStr">
        <is>
          <t>https://www.sec.gov/Archives/edgar/data/1552275/000155227526000008/ex992-sunocoxparklandprofo.htm</t>
        </is>
      </c>
    </row>
    <row r="94">
      <c r="B94" s="168" t="inlineStr">
        <is>
          <t>Sunoco LP 10-K for 2025</t>
        </is>
      </c>
      <c r="G94" s="289" t="inlineStr">
        <is>
          <t>https://www.sec.gov/Archives/edgar/data/1552275/000155227526000021/sun-20251231.htm</t>
        </is>
      </c>
    </row>
    <row r="95">
      <c r="B95" s="168" t="inlineStr">
        <is>
          <t>Sunoco LP 2026 guidance</t>
        </is>
      </c>
      <c r="G95" s="289" t="inlineStr">
        <is>
          <t>https://www.sunocolp.com/press-release/item/sunoco-lp-announces-2026-guidance-9e963a1fd-2026</t>
        </is>
      </c>
    </row>
    <row r="96">
      <c r="B96" s="168" t="inlineStr">
        <is>
          <t>Bank of Canada USD/CAD daily rates</t>
        </is>
      </c>
      <c r="G96" s="289" t="inlineStr">
        <is>
          <t>https://www.bankofcanada.ca/valet/observations/FXUSDCAD/json?start_date=2025-04-28&amp;end_date=2025-05-05</t>
        </is>
      </c>
    </row>
  </sheetData>
  <mergeCells count="2">
    <mergeCell ref="B3:G3"/>
    <mergeCell ref="B79:G79"/>
  </mergeCells>
  <hyperlinks>
    <hyperlink xmlns:r="http://schemas.openxmlformats.org/officeDocument/2006/relationships" ref="G82" r:id="rId1"/>
    <hyperlink xmlns:r="http://schemas.openxmlformats.org/officeDocument/2006/relationships" ref="G83" r:id="rId2"/>
    <hyperlink xmlns:r="http://schemas.openxmlformats.org/officeDocument/2006/relationships" ref="G84" r:id="rId3"/>
    <hyperlink xmlns:r="http://schemas.openxmlformats.org/officeDocument/2006/relationships" ref="G85" r:id="rId4"/>
    <hyperlink xmlns:r="http://schemas.openxmlformats.org/officeDocument/2006/relationships" ref="G86" r:id="rId5"/>
    <hyperlink xmlns:r="http://schemas.openxmlformats.org/officeDocument/2006/relationships" ref="G87" r:id="rId6"/>
    <hyperlink xmlns:r="http://schemas.openxmlformats.org/officeDocument/2006/relationships" ref="G88" r:id="rId7"/>
    <hyperlink xmlns:r="http://schemas.openxmlformats.org/officeDocument/2006/relationships" ref="G89" r:id="rId8"/>
    <hyperlink xmlns:r="http://schemas.openxmlformats.org/officeDocument/2006/relationships" ref="G90" r:id="rId9"/>
    <hyperlink xmlns:r="http://schemas.openxmlformats.org/officeDocument/2006/relationships" ref="G91" r:id="rId10"/>
    <hyperlink xmlns:r="http://schemas.openxmlformats.org/officeDocument/2006/relationships" ref="G92" r:id="rId11"/>
    <hyperlink xmlns:r="http://schemas.openxmlformats.org/officeDocument/2006/relationships" ref="G93" r:id="rId12"/>
    <hyperlink xmlns:r="http://schemas.openxmlformats.org/officeDocument/2006/relationships" ref="G94" r:id="rId13"/>
    <hyperlink xmlns:r="http://schemas.openxmlformats.org/officeDocument/2006/relationships" ref="G95" r:id="rId14"/>
    <hyperlink xmlns:r="http://schemas.openxmlformats.org/officeDocument/2006/relationships" ref="G96" r:id="rId15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 filterMode="0">
    <tabColor rgb="FF44546A"/>
    <outlinePr summaryBelow="1" summaryRight="1"/>
    <pageSetUpPr fitToPage="0"/>
  </sheetPr>
  <dimension ref="B2:J49"/>
  <sheetViews>
    <sheetView showFormulas="0" showGridLines="0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.45" customWidth="1" style="147" min="2" max="2"/>
    <col width="10.45" customWidth="1" style="147" min="6" max="6"/>
  </cols>
  <sheetData>
    <row r="2" ht="14.25" customHeight="1" s="148">
      <c r="B2" s="313" t="inlineStr">
        <is>
          <t>Paper LBO</t>
        </is>
      </c>
    </row>
    <row r="4" ht="14.25" customHeight="1" s="148">
      <c r="B4" s="174" t="inlineStr">
        <is>
          <t>Sources</t>
        </is>
      </c>
      <c r="G4" s="174" t="inlineStr">
        <is>
          <t>Uses</t>
        </is>
      </c>
    </row>
    <row r="5" ht="14.25" customHeight="1" s="148">
      <c r="B5" s="147" t="inlineStr">
        <is>
          <t>Debt</t>
        </is>
      </c>
      <c r="E5" s="176">
        <f>E12</f>
        <v/>
      </c>
      <c r="F5" s="177" t="n"/>
      <c r="G5" s="147" t="inlineStr">
        <is>
          <t>Purchase Price</t>
        </is>
      </c>
      <c r="J5" s="176">
        <f>J12</f>
        <v/>
      </c>
    </row>
    <row r="6" ht="14.25" customHeight="1" s="148">
      <c r="B6" s="147" t="inlineStr">
        <is>
          <t>Equity (plug)</t>
        </is>
      </c>
      <c r="E6" s="176">
        <f>E7-E5</f>
        <v/>
      </c>
    </row>
    <row r="7" ht="14.25" customHeight="1" s="148">
      <c r="B7" s="182" t="inlineStr">
        <is>
          <t>Total Sources</t>
        </is>
      </c>
      <c r="C7" s="182" t="n"/>
      <c r="D7" s="182" t="n"/>
      <c r="E7" s="183">
        <f>J7</f>
        <v/>
      </c>
      <c r="G7" s="182" t="inlineStr">
        <is>
          <t>Total Uses</t>
        </is>
      </c>
      <c r="H7" s="182" t="n"/>
      <c r="I7" s="182" t="n"/>
      <c r="J7" s="183">
        <f>J5</f>
        <v/>
      </c>
    </row>
    <row r="9" ht="14.25" customHeight="1" s="148">
      <c r="B9" s="185" t="inlineStr">
        <is>
          <t>Build to Debt</t>
        </is>
      </c>
      <c r="G9" s="185" t="inlineStr">
        <is>
          <t>Build to Purchase Price</t>
        </is>
      </c>
    </row>
    <row r="10" ht="14.25" customHeight="1" s="148">
      <c r="B10" s="147" t="inlineStr">
        <is>
          <t>2023 EBITDA</t>
        </is>
      </c>
      <c r="E10" s="176">
        <f>F18</f>
        <v/>
      </c>
      <c r="G10" s="147" t="inlineStr">
        <is>
          <t>2023 EBITDA</t>
        </is>
      </c>
      <c r="J10" s="176">
        <f>F18</f>
        <v/>
      </c>
    </row>
    <row r="11" ht="14.25" customHeight="1" s="148">
      <c r="B11" s="147" t="inlineStr">
        <is>
          <t>(x) Leverage</t>
        </is>
      </c>
      <c r="E11" s="164" t="n">
        <v>2</v>
      </c>
      <c r="G11" s="147" t="inlineStr">
        <is>
          <t>(x) Multiple of 2023 EBITDA</t>
        </is>
      </c>
      <c r="J11" s="164" t="n">
        <v>5</v>
      </c>
    </row>
    <row r="12" ht="14.25" customHeight="1" s="148">
      <c r="B12" s="188" t="inlineStr">
        <is>
          <t>Debt</t>
        </is>
      </c>
      <c r="C12" s="188" t="n"/>
      <c r="D12" s="188" t="n"/>
      <c r="E12" s="189">
        <f>E10*E11</f>
        <v/>
      </c>
      <c r="G12" s="188" t="inlineStr">
        <is>
          <t>Purchase Price</t>
        </is>
      </c>
      <c r="H12" s="188" t="n"/>
      <c r="I12" s="188" t="n"/>
      <c r="J12" s="189">
        <f>J10*J11</f>
        <v/>
      </c>
    </row>
    <row r="14" ht="14.25" customHeight="1" s="148">
      <c r="B14" s="191" t="inlineStr">
        <is>
          <t>Simple P&amp;L</t>
        </is>
      </c>
      <c r="C14" s="192" t="n"/>
      <c r="D14" s="192" t="n"/>
      <c r="E14" s="174" t="n">
        <v>2022</v>
      </c>
      <c r="F14" s="174">
        <f>E14+1</f>
        <v/>
      </c>
      <c r="G14" s="174">
        <f>F14+1</f>
        <v/>
      </c>
      <c r="H14" s="174">
        <f>G14+1</f>
        <v/>
      </c>
      <c r="I14" s="174">
        <f>H14+1</f>
        <v/>
      </c>
      <c r="J14" s="174">
        <f>I14+1</f>
        <v/>
      </c>
    </row>
    <row r="15" ht="14.25" customHeight="1" s="148">
      <c r="B15" s="147" t="inlineStr">
        <is>
          <t>Revenue</t>
        </is>
      </c>
      <c r="E15" s="176" t="n">
        <v>100</v>
      </c>
      <c r="F15" s="176">
        <f>E15+F16</f>
        <v/>
      </c>
      <c r="G15" s="176">
        <f>F15+G16</f>
        <v/>
      </c>
      <c r="H15" s="176">
        <f>G15+H16</f>
        <v/>
      </c>
      <c r="I15" s="176">
        <f>H15+I16</f>
        <v/>
      </c>
      <c r="J15" s="176">
        <f>I15+J16</f>
        <v/>
      </c>
    </row>
    <row r="16" ht="14.25" customHeight="1" s="148">
      <c r="B16" s="193" t="inlineStr">
        <is>
          <t>$ Incremental Revenue</t>
        </is>
      </c>
      <c r="F16" s="194" t="n">
        <v>10</v>
      </c>
      <c r="G16" s="194">
        <f>F16</f>
        <v/>
      </c>
      <c r="H16" s="194">
        <f>G16</f>
        <v/>
      </c>
      <c r="I16" s="194">
        <f>H16</f>
        <v/>
      </c>
      <c r="J16" s="194">
        <f>I16</f>
        <v/>
      </c>
    </row>
    <row r="18" ht="14.25" customHeight="1" s="148">
      <c r="B18" s="147" t="inlineStr">
        <is>
          <t>EBITDA</t>
        </is>
      </c>
      <c r="E18" s="176">
        <f>E19*E15</f>
        <v/>
      </c>
      <c r="F18" s="176">
        <f>F19*F15</f>
        <v/>
      </c>
      <c r="G18" s="176">
        <f>G19*G15</f>
        <v/>
      </c>
      <c r="H18" s="176">
        <f>H19*H15</f>
        <v/>
      </c>
      <c r="I18" s="176">
        <f>I19*I15</f>
        <v/>
      </c>
      <c r="J18" s="176">
        <f>J19*J15</f>
        <v/>
      </c>
    </row>
    <row r="19" ht="14.25" customHeight="1" s="148">
      <c r="B19" s="193" t="inlineStr">
        <is>
          <t>% margin</t>
        </is>
      </c>
      <c r="E19" s="196" t="n">
        <v>0.2</v>
      </c>
      <c r="F19" s="196">
        <f>E19</f>
        <v/>
      </c>
      <c r="G19" s="196">
        <f>F19</f>
        <v/>
      </c>
      <c r="H19" s="196">
        <f>G19</f>
        <v/>
      </c>
      <c r="I19" s="196">
        <f>H19</f>
        <v/>
      </c>
      <c r="J19" s="196">
        <f>I19</f>
        <v/>
      </c>
    </row>
    <row r="21" ht="14.25" customHeight="1" s="148">
      <c r="B21" s="185" t="inlineStr">
        <is>
          <t>LFCF Build</t>
        </is>
      </c>
    </row>
    <row r="22" ht="14.25" customHeight="1" s="148">
      <c r="B22" s="147" t="inlineStr">
        <is>
          <t>EBITDA</t>
        </is>
      </c>
      <c r="E22" s="199" t="n"/>
      <c r="F22" s="199">
        <f>F18</f>
        <v/>
      </c>
      <c r="G22" s="199">
        <f>G18</f>
        <v/>
      </c>
      <c r="H22" s="199">
        <f>H18</f>
        <v/>
      </c>
      <c r="I22" s="199">
        <f>I18</f>
        <v/>
      </c>
      <c r="J22" s="199">
        <f>J18</f>
        <v/>
      </c>
    </row>
    <row r="23" ht="14.25" customHeight="1" s="148">
      <c r="B23" s="147" t="inlineStr">
        <is>
          <t>(-) D&amp;A</t>
        </is>
      </c>
      <c r="E23" s="199" t="n"/>
      <c r="F23" s="199" t="n">
        <v>-10</v>
      </c>
      <c r="G23" s="199">
        <f>F23</f>
        <v/>
      </c>
      <c r="H23" s="199">
        <f>G23</f>
        <v/>
      </c>
      <c r="I23" s="199">
        <f>H23</f>
        <v/>
      </c>
      <c r="J23" s="199">
        <f>I23</f>
        <v/>
      </c>
    </row>
    <row r="24" ht="14.25" customHeight="1" s="148">
      <c r="B24" s="188" t="inlineStr">
        <is>
          <t>EBIT</t>
        </is>
      </c>
      <c r="C24" s="188" t="n"/>
      <c r="D24" s="188" t="n"/>
      <c r="E24" s="200" t="n"/>
      <c r="F24" s="200">
        <f>F22+F23</f>
        <v/>
      </c>
      <c r="G24" s="200">
        <f>G22+G23</f>
        <v/>
      </c>
      <c r="H24" s="200">
        <f>H22+H23</f>
        <v/>
      </c>
      <c r="I24" s="200">
        <f>I22+I23</f>
        <v/>
      </c>
      <c r="J24" s="200">
        <f>J22+J23</f>
        <v/>
      </c>
    </row>
    <row r="25" ht="14.25" customHeight="1" s="148">
      <c r="B25" s="147" t="inlineStr">
        <is>
          <t>(-) Cash Interest</t>
        </is>
      </c>
      <c r="D25" s="196" t="n">
        <v>0.1</v>
      </c>
      <c r="E25" s="199" t="n"/>
      <c r="F25" s="199">
        <f>$E$12*-$D$25</f>
        <v/>
      </c>
      <c r="G25" s="199">
        <f>$E$12*-$D$25</f>
        <v/>
      </c>
      <c r="H25" s="199">
        <f>$E$12*-$D$25</f>
        <v/>
      </c>
      <c r="I25" s="199">
        <f>$E$12*-$D$25</f>
        <v/>
      </c>
      <c r="J25" s="199">
        <f>$E$12*-$D$25</f>
        <v/>
      </c>
    </row>
    <row r="26" ht="14.25" customHeight="1" s="148">
      <c r="B26" s="188" t="inlineStr">
        <is>
          <t>EBT</t>
        </is>
      </c>
      <c r="C26" s="188" t="n"/>
      <c r="D26" s="188" t="n"/>
      <c r="E26" s="200" t="n"/>
      <c r="F26" s="200">
        <f>F24+F25</f>
        <v/>
      </c>
      <c r="G26" s="200">
        <f>G24+G25</f>
        <v/>
      </c>
      <c r="H26" s="200">
        <f>H24+H25</f>
        <v/>
      </c>
      <c r="I26" s="200">
        <f>I24+I25</f>
        <v/>
      </c>
      <c r="J26" s="200">
        <f>J24+J25</f>
        <v/>
      </c>
    </row>
    <row r="27" ht="14.25" customHeight="1" s="148">
      <c r="B27" s="147" t="inlineStr">
        <is>
          <t>(-) Taxes</t>
        </is>
      </c>
      <c r="D27" s="196" t="n">
        <v>0.25</v>
      </c>
      <c r="E27" s="199" t="n"/>
      <c r="F27" s="199">
        <f>F26*-$D27</f>
        <v/>
      </c>
      <c r="G27" s="199">
        <f>G26*-$D27</f>
        <v/>
      </c>
      <c r="H27" s="199">
        <f>H26*-$D27</f>
        <v/>
      </c>
      <c r="I27" s="199">
        <f>I26*-$D27</f>
        <v/>
      </c>
      <c r="J27" s="199">
        <f>J26*-$D27</f>
        <v/>
      </c>
    </row>
    <row r="28" ht="14.25" customHeight="1" s="148">
      <c r="B28" s="188" t="inlineStr">
        <is>
          <t>Net Income</t>
        </is>
      </c>
      <c r="C28" s="188" t="n"/>
      <c r="D28" s="188" t="n"/>
      <c r="E28" s="200" t="n"/>
      <c r="F28" s="200">
        <f>F26+F27</f>
        <v/>
      </c>
      <c r="G28" s="200">
        <f>G26+G27</f>
        <v/>
      </c>
      <c r="H28" s="200">
        <f>H26+H27</f>
        <v/>
      </c>
      <c r="I28" s="200">
        <f>I26+I27</f>
        <v/>
      </c>
      <c r="J28" s="200">
        <f>J26+J27</f>
        <v/>
      </c>
    </row>
    <row r="29" ht="14.25" customHeight="1" s="148">
      <c r="B29" s="147" t="inlineStr">
        <is>
          <t>(+) D&amp;A</t>
        </is>
      </c>
      <c r="E29" s="199" t="n"/>
      <c r="F29" s="199">
        <f>-F23</f>
        <v/>
      </c>
      <c r="G29" s="199">
        <f>-G23</f>
        <v/>
      </c>
      <c r="H29" s="199">
        <f>-H23</f>
        <v/>
      </c>
      <c r="I29" s="199">
        <f>-I23</f>
        <v/>
      </c>
      <c r="J29" s="199">
        <f>-J23</f>
        <v/>
      </c>
    </row>
    <row r="30" ht="14.25" customHeight="1" s="148">
      <c r="B30" s="147" t="inlineStr">
        <is>
          <t>(-) Capex</t>
        </is>
      </c>
      <c r="E30" s="199" t="n"/>
      <c r="F30" s="199" t="n">
        <v>-10</v>
      </c>
      <c r="G30" s="199" t="n">
        <v>-10</v>
      </c>
      <c r="H30" s="199" t="n">
        <v>-10</v>
      </c>
      <c r="I30" s="199" t="n">
        <v>-10</v>
      </c>
      <c r="J30" s="199" t="n">
        <v>-10</v>
      </c>
    </row>
    <row r="31" ht="14.25" customHeight="1" s="148">
      <c r="B31" s="147" t="inlineStr">
        <is>
          <t>(-) Change in NWC</t>
        </is>
      </c>
      <c r="E31" s="199" t="n"/>
      <c r="F31" s="199" t="n">
        <v>0</v>
      </c>
      <c r="G31" s="199" t="n">
        <v>0</v>
      </c>
      <c r="H31" s="199" t="n">
        <v>0</v>
      </c>
      <c r="I31" s="199" t="n">
        <v>0</v>
      </c>
      <c r="J31" s="199" t="n">
        <v>0</v>
      </c>
    </row>
    <row r="32" ht="14.25" customHeight="1" s="148">
      <c r="B32" s="188" t="inlineStr">
        <is>
          <t>Levered FCF</t>
        </is>
      </c>
      <c r="C32" s="188" t="n"/>
      <c r="D32" s="188" t="n"/>
      <c r="E32" s="200" t="n"/>
      <c r="F32" s="200">
        <f>SUM(F28:F31)</f>
        <v/>
      </c>
      <c r="G32" s="200">
        <f>SUM(G28:G31)</f>
        <v/>
      </c>
      <c r="H32" s="200">
        <f>SUM(H28:H31)</f>
        <v/>
      </c>
      <c r="I32" s="200">
        <f>SUM(I28:I31)</f>
        <v/>
      </c>
      <c r="J32" s="200">
        <f>SUM(J28:J31)</f>
        <v/>
      </c>
    </row>
    <row r="33" ht="14.25" customHeight="1" s="148">
      <c r="B33" s="193" t="inlineStr">
        <is>
          <t>Cumulative LFCF</t>
        </is>
      </c>
      <c r="E33" s="199" t="n"/>
      <c r="F33" s="201">
        <f>SUM($E32:F32)</f>
        <v/>
      </c>
      <c r="G33" s="201">
        <f>SUM($E32:G32)</f>
        <v/>
      </c>
      <c r="H33" s="201">
        <f>SUM($E32:H32)</f>
        <v/>
      </c>
      <c r="I33" s="201">
        <f>SUM($E32:I32)</f>
        <v/>
      </c>
      <c r="J33" s="201">
        <f>SUM($E32:J32)</f>
        <v/>
      </c>
    </row>
    <row r="35" ht="14.25" customHeight="1" s="148">
      <c r="B35" s="191" t="inlineStr">
        <is>
          <t>Returns</t>
        </is>
      </c>
      <c r="C35" s="192" t="n"/>
      <c r="D35" s="192" t="n"/>
      <c r="E35" s="174" t="n"/>
      <c r="F35" s="174" t="n"/>
      <c r="G35" s="174" t="n"/>
      <c r="H35" s="174" t="n"/>
      <c r="I35" s="174" t="n"/>
      <c r="J35" s="174" t="n"/>
    </row>
    <row r="37" ht="14.25" customHeight="1" s="148">
      <c r="B37" s="147" t="inlineStr">
        <is>
          <t>Exit EBITDA (2027)</t>
        </is>
      </c>
      <c r="E37" s="199">
        <f>J18</f>
        <v/>
      </c>
    </row>
    <row r="38" ht="14.25" customHeight="1" s="148">
      <c r="B38" s="147" t="inlineStr">
        <is>
          <t>(x) Exit Multiple</t>
        </is>
      </c>
      <c r="E38" s="164" t="n">
        <v>5</v>
      </c>
    </row>
    <row r="39" ht="14.25" customHeight="1" s="148">
      <c r="B39" s="202" t="inlineStr">
        <is>
          <t>Enterprise Value</t>
        </is>
      </c>
      <c r="C39" s="202" t="n"/>
      <c r="D39" s="202" t="n"/>
      <c r="E39" s="203">
        <f>E37*E38</f>
        <v/>
      </c>
    </row>
    <row r="40" ht="14.25" customHeight="1" s="148">
      <c r="B40" s="147" t="inlineStr">
        <is>
          <t>(-) Debt</t>
        </is>
      </c>
      <c r="E40" s="199">
        <f>-E12</f>
        <v/>
      </c>
    </row>
    <row r="41" ht="14.25" customHeight="1" s="148">
      <c r="B41" s="147" t="inlineStr">
        <is>
          <t>(+) Cash</t>
        </is>
      </c>
      <c r="E41" s="199">
        <f>J33</f>
        <v/>
      </c>
    </row>
    <row r="42" ht="14.25" customHeight="1" s="148">
      <c r="B42" s="202" t="inlineStr">
        <is>
          <t>Equity Value at Exit</t>
        </is>
      </c>
      <c r="C42" s="202" t="n"/>
      <c r="D42" s="202" t="n"/>
      <c r="E42" s="203">
        <f>SUM(E39:E41)</f>
        <v/>
      </c>
    </row>
    <row r="43" ht="14.25" customHeight="1" s="148">
      <c r="B43" s="147" t="inlineStr">
        <is>
          <t xml:space="preserve">Initial Equity Investment </t>
        </is>
      </c>
      <c r="E43" s="199">
        <f>E6</f>
        <v/>
      </c>
    </row>
    <row r="45" ht="14.25" customHeight="1" s="148">
      <c r="B45" s="147" t="inlineStr">
        <is>
          <t>MoM</t>
        </is>
      </c>
      <c r="E45" s="164">
        <f>E42/E43</f>
        <v/>
      </c>
    </row>
    <row r="46" ht="14.25" customHeight="1" s="148">
      <c r="B46" s="147" t="inlineStr">
        <is>
          <t>IRR</t>
        </is>
      </c>
      <c r="E46" s="177">
        <f>XIRR(E48:E49,B48:B49)</f>
        <v/>
      </c>
    </row>
    <row r="48" ht="14.25" customHeight="1" s="148">
      <c r="B48" s="314" t="n">
        <v>44926</v>
      </c>
      <c r="E48" s="199">
        <f>-E6</f>
        <v/>
      </c>
    </row>
    <row r="49" ht="14.25" customHeight="1" s="148">
      <c r="B49" s="314" t="n">
        <v>46752</v>
      </c>
      <c r="E49" s="199">
        <f>E42</f>
        <v/>
      </c>
    </row>
  </sheetData>
  <mergeCells count="3">
    <mergeCell ref="G4:J4"/>
    <mergeCell ref="B2:J2"/>
    <mergeCell ref="B4:E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filterMode="0">
    <tabColor rgb="FF44546A"/>
    <outlinePr summaryBelow="1" summaryRight="1"/>
    <pageSetUpPr fitToPage="0"/>
  </sheetPr>
  <dimension ref="A1:A1"/>
  <sheetViews>
    <sheetView showFormulas="0" showGridLines="0" showRowColHeaders="1" showZeros="1" rightToLeft="0" tabSelected="0" showOutlineSymbols="1" defaultGridColor="1" view="normal" topLeftCell="A1" colorId="64" zoomScale="115" zoomScaleNormal="115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 filterMode="0">
    <tabColor rgb="FF44546A"/>
    <outlinePr summaryBelow="1" summaryRight="1"/>
    <pageSetUpPr fitToPage="0"/>
  </sheetPr>
  <dimension ref="A2:K207"/>
  <sheetViews>
    <sheetView showFormulas="0" showGridLines="0" showRowColHeaders="1" showZeros="1" rightToLeft="0" tabSelected="1" showOutlineSymbols="1" defaultGridColor="1" view="normal" topLeftCell="A1" colorId="64" zoomScale="115" zoomScaleNormal="115" zoomScalePageLayoutView="100" workbookViewId="0">
      <selection pane="topLeft" activeCell="J19" activeCellId="0" sqref="J19"/>
    </sheetView>
  </sheetViews>
  <sheetFormatPr baseColWidth="8" defaultColWidth="8.73046875" defaultRowHeight="12.75" zeroHeight="0" outlineLevelRow="0"/>
  <cols>
    <col width="2.82" customWidth="1" style="213" min="1" max="1"/>
    <col width="11.54" customWidth="1" style="213" min="2" max="2"/>
    <col width="8.73" customWidth="1" style="213" min="3" max="16384"/>
  </cols>
  <sheetData>
    <row r="2" ht="12.75" customHeight="1" s="148">
      <c r="B2" s="215" t="inlineStr">
        <is>
          <t>Assumptions</t>
        </is>
      </c>
    </row>
    <row r="3" ht="12.75" customHeight="1" s="148">
      <c r="B3" s="213" t="inlineStr">
        <is>
          <t>Entry Multiple</t>
        </is>
      </c>
      <c r="E3" s="248" t="n">
        <v>9</v>
      </c>
      <c r="G3" s="213" t="inlineStr">
        <is>
          <t>TL</t>
        </is>
      </c>
      <c r="I3" s="248" t="n">
        <v>4</v>
      </c>
      <c r="J3" s="315" t="n">
        <v>0.0225</v>
      </c>
    </row>
    <row r="4" ht="12.75" customHeight="1" s="148">
      <c r="B4" s="213" t="inlineStr">
        <is>
          <t>Exit Multiple</t>
        </is>
      </c>
      <c r="E4" s="248" t="n">
        <v>9</v>
      </c>
      <c r="G4" s="213" t="inlineStr">
        <is>
          <t>Mezz</t>
        </is>
      </c>
      <c r="I4" s="248" t="n">
        <v>2</v>
      </c>
      <c r="J4" s="315" t="n">
        <v>0.0225</v>
      </c>
    </row>
    <row r="5" ht="12.75" customHeight="1" s="148">
      <c r="B5" s="213" t="inlineStr">
        <is>
          <t>EBITDA at Entry</t>
        </is>
      </c>
      <c r="E5" s="249" t="n">
        <v>40</v>
      </c>
      <c r="G5" s="213" t="inlineStr">
        <is>
          <t>Days</t>
        </is>
      </c>
      <c r="I5" s="219" t="n">
        <v>365</v>
      </c>
    </row>
    <row r="6" ht="12.75" customHeight="1" s="148">
      <c r="B6" s="213" t="inlineStr">
        <is>
          <t>Financing Fees Years</t>
        </is>
      </c>
      <c r="E6" s="219" t="n">
        <v>10</v>
      </c>
      <c r="G6" s="213" t="inlineStr">
        <is>
          <t>Tax Rate</t>
        </is>
      </c>
      <c r="I6" s="244" t="n">
        <v>0.4</v>
      </c>
    </row>
    <row r="7" ht="12.75" customHeight="1" s="148">
      <c r="B7" s="213" t="inlineStr">
        <is>
          <t>D&amp;A Life</t>
        </is>
      </c>
      <c r="E7" s="219" t="n">
        <v>15</v>
      </c>
    </row>
    <row r="8" ht="12.75" customHeight="1" s="148">
      <c r="B8" s="213" t="inlineStr">
        <is>
          <t>Rollover</t>
        </is>
      </c>
      <c r="E8" s="316" t="n">
        <v>0.1</v>
      </c>
      <c r="G8" s="223" t="inlineStr">
        <is>
          <t>circ</t>
        </is>
      </c>
      <c r="H8" s="224" t="n"/>
      <c r="I8" s="225" t="n">
        <v>1</v>
      </c>
      <c r="J8" s="226" t="inlineStr">
        <is>
          <t>&lt;&lt; remember to turn this on by making it 1</t>
        </is>
      </c>
    </row>
    <row r="10" ht="12.75" customHeight="1" s="148">
      <c r="B10" s="215" t="inlineStr">
        <is>
          <t>Sources</t>
        </is>
      </c>
      <c r="G10" s="215" t="inlineStr">
        <is>
          <t>Uses</t>
        </is>
      </c>
    </row>
    <row r="11" ht="12.75" customHeight="1" s="148">
      <c r="B11" s="213" t="inlineStr">
        <is>
          <t>Term Loan</t>
        </is>
      </c>
      <c r="E11" s="227">
        <f>+I3*$E$5</f>
        <v/>
      </c>
      <c r="G11" s="213" t="inlineStr">
        <is>
          <t>Equity purchase price</t>
        </is>
      </c>
      <c r="J11" s="227">
        <f>+E18</f>
        <v/>
      </c>
    </row>
    <row r="12" ht="12.75" customHeight="1" s="148">
      <c r="B12" s="213" t="inlineStr">
        <is>
          <t>Mezz Loan</t>
        </is>
      </c>
      <c r="E12" s="227">
        <f>+I4*$E$5</f>
        <v/>
      </c>
      <c r="G12" s="213" t="inlineStr">
        <is>
          <t>M&amp;A fee</t>
        </is>
      </c>
      <c r="J12" s="249" t="n">
        <v>5</v>
      </c>
    </row>
    <row r="13" ht="12.75" customHeight="1" s="148">
      <c r="B13" s="213" t="inlineStr">
        <is>
          <t>Management Rollover</t>
        </is>
      </c>
      <c r="E13" s="227">
        <f>+E18*E8</f>
        <v/>
      </c>
      <c r="G13" s="213" t="inlineStr">
        <is>
          <t>Fin. Fee</t>
        </is>
      </c>
      <c r="J13" s="228">
        <f>+J3*E11+J4*E12</f>
        <v/>
      </c>
    </row>
    <row r="14" ht="12.75" customHeight="1" s="148">
      <c r="B14" s="213" t="inlineStr">
        <is>
          <t>Sponsor Equity</t>
        </is>
      </c>
      <c r="E14" s="227">
        <f>E15-SUM(E11:E13)</f>
        <v/>
      </c>
      <c r="J14" s="227" t="n"/>
    </row>
    <row r="15" ht="12.75" customHeight="1" s="148">
      <c r="B15" s="229" t="inlineStr">
        <is>
          <t>Total Sources</t>
        </is>
      </c>
      <c r="C15" s="229" t="n"/>
      <c r="D15" s="229" t="n"/>
      <c r="E15" s="230">
        <f>J15</f>
        <v/>
      </c>
      <c r="G15" s="229" t="inlineStr">
        <is>
          <t>Total Uses</t>
        </is>
      </c>
      <c r="H15" s="229" t="n"/>
      <c r="I15" s="229" t="n"/>
      <c r="J15" s="230">
        <f>SUM(J11:J14)</f>
        <v/>
      </c>
    </row>
    <row r="17" ht="12.75" customHeight="1" s="148">
      <c r="B17" s="215" t="inlineStr">
        <is>
          <t>Purchase Acct</t>
        </is>
      </c>
      <c r="G17" s="231" t="n"/>
    </row>
    <row r="18" ht="12.75" customHeight="1" s="148">
      <c r="B18" s="213" t="inlineStr">
        <is>
          <t>Purchase Price</t>
        </is>
      </c>
      <c r="E18" s="227">
        <f>+E3*E5</f>
        <v/>
      </c>
      <c r="G18" s="232" t="n"/>
    </row>
    <row r="19" ht="12.75" customHeight="1" s="148">
      <c r="B19" s="213" t="inlineStr">
        <is>
          <t>(-) NPV</t>
        </is>
      </c>
      <c r="E19" s="249" t="n">
        <v>-100</v>
      </c>
      <c r="G19" s="231" t="n"/>
    </row>
    <row r="20" ht="12.75" customHeight="1" s="148">
      <c r="B20" s="233" t="inlineStr">
        <is>
          <t>Excess</t>
        </is>
      </c>
      <c r="C20" s="233" t="n"/>
      <c r="D20" s="233" t="n"/>
      <c r="E20" s="234">
        <f>SUM(E18:E19)</f>
        <v/>
      </c>
      <c r="G20" s="231" t="n"/>
    </row>
    <row r="21" ht="12.75" customHeight="1" s="148">
      <c r="B21" s="213" t="inlineStr">
        <is>
          <t>(-) Alloc to PPE</t>
        </is>
      </c>
      <c r="D21" s="244" t="n">
        <v>0.15</v>
      </c>
      <c r="E21" s="227">
        <f>+-E20*D21</f>
        <v/>
      </c>
      <c r="G21" s="231" t="n"/>
    </row>
    <row r="22" ht="12.75" customHeight="1" s="148">
      <c r="B22" s="213" t="inlineStr">
        <is>
          <t>DTL</t>
        </is>
      </c>
      <c r="D22" s="244" t="n">
        <v>0.4</v>
      </c>
      <c r="E22" s="227">
        <f>+-E21*D22</f>
        <v/>
      </c>
      <c r="G22" s="231" t="n"/>
    </row>
    <row r="23" ht="12.75" customHeight="1" s="148">
      <c r="B23" s="235" t="inlineStr">
        <is>
          <t>Goodwill</t>
        </is>
      </c>
      <c r="C23" s="235" t="n"/>
      <c r="D23" s="235" t="n"/>
      <c r="E23" s="236">
        <f>SUM(E20:E22)</f>
        <v/>
      </c>
    </row>
    <row r="25" ht="12.75" customHeight="1" s="148">
      <c r="A25" s="213" t="inlineStr">
        <is>
          <t>x</t>
        </is>
      </c>
      <c r="B25" s="237" t="inlineStr">
        <is>
          <t>Income Statement</t>
        </is>
      </c>
      <c r="C25" s="237" t="n"/>
      <c r="D25" s="237" t="n"/>
      <c r="E25" s="237" t="n">
        <v>2013</v>
      </c>
      <c r="F25" s="237">
        <f>E25+1</f>
        <v/>
      </c>
      <c r="G25" s="237">
        <f>F25+1</f>
        <v/>
      </c>
      <c r="H25" s="237">
        <f>G25+1</f>
        <v/>
      </c>
      <c r="I25" s="237">
        <f>H25+1</f>
        <v/>
      </c>
      <c r="J25" s="237">
        <f>I25+1</f>
        <v/>
      </c>
    </row>
    <row r="26" ht="12.75" customHeight="1" s="148">
      <c r="B26" s="238" t="inlineStr">
        <is>
          <t>Revenue</t>
        </is>
      </c>
      <c r="C26" s="238" t="n"/>
      <c r="D26" s="238" t="n"/>
      <c r="E26" s="236">
        <f>+E31/E32</f>
        <v/>
      </c>
      <c r="F26" s="236">
        <f>+E26*(1+F27)</f>
        <v/>
      </c>
      <c r="G26" s="236">
        <f>+F26*(1+G27)</f>
        <v/>
      </c>
      <c r="H26" s="236">
        <f>+G26*(1+H27)</f>
        <v/>
      </c>
      <c r="I26" s="236">
        <f>+H26*(1+I27)</f>
        <v/>
      </c>
      <c r="J26" s="236">
        <f>+I26*(1+J27)</f>
        <v/>
      </c>
    </row>
    <row r="27" ht="12.75" customHeight="1" s="148">
      <c r="B27" s="239" t="inlineStr">
        <is>
          <t>% Growth</t>
        </is>
      </c>
      <c r="F27" s="240" t="n">
        <v>0.05</v>
      </c>
      <c r="G27" s="240">
        <f>+F27</f>
        <v/>
      </c>
      <c r="H27" s="240">
        <f>+G27</f>
        <v/>
      </c>
      <c r="I27" s="240">
        <f>+H27</f>
        <v/>
      </c>
      <c r="J27" s="240">
        <f>+I27</f>
        <v/>
      </c>
    </row>
    <row r="28" ht="12.75" customHeight="1" s="148">
      <c r="B28" s="213" t="inlineStr">
        <is>
          <t>(-) Cogs</t>
        </is>
      </c>
      <c r="E28" s="227">
        <f>E29-E26</f>
        <v/>
      </c>
      <c r="F28" s="227">
        <f>F29-F26</f>
        <v/>
      </c>
      <c r="G28" s="227">
        <f>G29-G26</f>
        <v/>
      </c>
      <c r="H28" s="227">
        <f>H29-H26</f>
        <v/>
      </c>
      <c r="I28" s="227">
        <f>I29-I26</f>
        <v/>
      </c>
      <c r="J28" s="227">
        <f>J29-J26</f>
        <v/>
      </c>
    </row>
    <row r="29" ht="12.75" customHeight="1" s="148">
      <c r="B29" s="235" t="inlineStr">
        <is>
          <t>Gross Profit</t>
        </is>
      </c>
      <c r="C29" s="235" t="n"/>
      <c r="D29" s="235" t="n"/>
      <c r="E29" s="236">
        <f>+E26*E30</f>
        <v/>
      </c>
      <c r="F29" s="236">
        <f>+F26*F30</f>
        <v/>
      </c>
      <c r="G29" s="236">
        <f>+G26*G30</f>
        <v/>
      </c>
      <c r="H29" s="236">
        <f>+H26*H30</f>
        <v/>
      </c>
      <c r="I29" s="236">
        <f>+I26*I30</f>
        <v/>
      </c>
      <c r="J29" s="236">
        <f>+J26*J30</f>
        <v/>
      </c>
    </row>
    <row r="30" ht="12.75" customHeight="1" s="148">
      <c r="B30" s="239" t="inlineStr">
        <is>
          <t>% Gross Margin</t>
        </is>
      </c>
      <c r="E30" s="240" t="n">
        <v>0.6</v>
      </c>
      <c r="F30" s="240">
        <f>+E30</f>
        <v/>
      </c>
      <c r="G30" s="240">
        <f>+F30</f>
        <v/>
      </c>
      <c r="H30" s="240">
        <f>+G30</f>
        <v/>
      </c>
      <c r="I30" s="240">
        <f>+H30</f>
        <v/>
      </c>
      <c r="J30" s="240">
        <f>+I30</f>
        <v/>
      </c>
    </row>
    <row r="31" ht="12.75" customHeight="1" s="148">
      <c r="B31" s="238" t="inlineStr">
        <is>
          <t>EBITDA</t>
        </is>
      </c>
      <c r="C31" s="238" t="n"/>
      <c r="D31" s="238" t="n"/>
      <c r="E31" s="241">
        <f>+E5</f>
        <v/>
      </c>
      <c r="F31" s="241">
        <f>+F26*F32</f>
        <v/>
      </c>
      <c r="G31" s="241">
        <f>+G26*G32</f>
        <v/>
      </c>
      <c r="H31" s="241">
        <f>+H26*H32</f>
        <v/>
      </c>
      <c r="I31" s="241">
        <f>+I26*I32</f>
        <v/>
      </c>
      <c r="J31" s="241">
        <f>+J26*J32</f>
        <v/>
      </c>
    </row>
    <row r="32" ht="12.75" customHeight="1" s="148">
      <c r="B32" s="242" t="inlineStr">
        <is>
          <t>% Margin</t>
        </is>
      </c>
      <c r="E32" s="240" t="n">
        <v>0.4</v>
      </c>
      <c r="F32" s="240">
        <f>+E32</f>
        <v/>
      </c>
      <c r="G32" s="240">
        <f>+F32</f>
        <v/>
      </c>
      <c r="H32" s="240">
        <f>+G32</f>
        <v/>
      </c>
      <c r="I32" s="240">
        <f>+H32</f>
        <v/>
      </c>
      <c r="J32" s="240">
        <f>+I32</f>
        <v/>
      </c>
    </row>
    <row r="33" ht="12.75" customHeight="1" s="148">
      <c r="B33" s="213" t="inlineStr">
        <is>
          <t>(-) D&amp;A</t>
        </is>
      </c>
      <c r="F33" s="227">
        <f>+-F26*F46+F42</f>
        <v/>
      </c>
      <c r="G33" s="227">
        <f>+-G26*G46+G42</f>
        <v/>
      </c>
      <c r="H33" s="227">
        <f>+-H26*H46+H42</f>
        <v/>
      </c>
      <c r="I33" s="227">
        <f>+-I26*I46+I42</f>
        <v/>
      </c>
      <c r="J33" s="227">
        <f>+-J26*J46+J42</f>
        <v/>
      </c>
    </row>
    <row r="34" ht="12.75" customHeight="1" s="148">
      <c r="B34" s="235" t="inlineStr">
        <is>
          <t>EBIT</t>
        </is>
      </c>
      <c r="C34" s="235" t="n"/>
      <c r="D34" s="235" t="n"/>
      <c r="E34" s="235" t="n"/>
      <c r="F34" s="236">
        <f>+F31+F33</f>
        <v/>
      </c>
      <c r="G34" s="236">
        <f>+G31+G33</f>
        <v/>
      </c>
      <c r="H34" s="236">
        <f>+H31+H33</f>
        <v/>
      </c>
      <c r="I34" s="236">
        <f>+I31+I33</f>
        <v/>
      </c>
      <c r="J34" s="236">
        <f>+J31+J33</f>
        <v/>
      </c>
    </row>
    <row r="35" ht="12.75" customHeight="1" s="148">
      <c r="B35" s="213" t="inlineStr">
        <is>
          <t>(-) Interest Expense</t>
        </is>
      </c>
      <c r="F35" s="243">
        <f>+circ*F150</f>
        <v/>
      </c>
      <c r="G35" s="243">
        <f>+circ*G150</f>
        <v/>
      </c>
      <c r="H35" s="243">
        <f>+circ*H150</f>
        <v/>
      </c>
      <c r="I35" s="243">
        <f>+circ*I150</f>
        <v/>
      </c>
      <c r="J35" s="243">
        <f>+circ*J150</f>
        <v/>
      </c>
    </row>
    <row r="36" ht="12.75" customHeight="1" s="148">
      <c r="B36" s="213" t="inlineStr">
        <is>
          <t>(+) Interest Income</t>
        </is>
      </c>
      <c r="F36" s="243">
        <f>+circ*F148</f>
        <v/>
      </c>
      <c r="G36" s="243">
        <f>+circ*G148</f>
        <v/>
      </c>
      <c r="H36" s="243">
        <f>+circ*H148</f>
        <v/>
      </c>
      <c r="I36" s="243">
        <f>+circ*I148</f>
        <v/>
      </c>
      <c r="J36" s="243">
        <f>+circ*J148</f>
        <v/>
      </c>
    </row>
    <row r="37" ht="12.75" customHeight="1" s="148">
      <c r="B37" s="213" t="inlineStr">
        <is>
          <t>(-) Amort. Of Fin Fee</t>
        </is>
      </c>
      <c r="F37" s="227">
        <f>+-$J$13/$E$6</f>
        <v/>
      </c>
      <c r="G37" s="227">
        <f>+-$J$13/$E$6</f>
        <v/>
      </c>
      <c r="H37" s="227">
        <f>+-$J$13/$E$6</f>
        <v/>
      </c>
      <c r="I37" s="227">
        <f>+-$J$13/$E$6</f>
        <v/>
      </c>
      <c r="J37" s="227">
        <f>+-$J$13/$E$6</f>
        <v/>
      </c>
    </row>
    <row r="38" ht="12.75" customHeight="1" s="148">
      <c r="B38" s="235" t="inlineStr">
        <is>
          <t>EBT</t>
        </is>
      </c>
      <c r="C38" s="235" t="n"/>
      <c r="D38" s="235" t="n"/>
      <c r="E38" s="235" t="n"/>
      <c r="F38" s="236">
        <f>SUM(F34:F37)</f>
        <v/>
      </c>
      <c r="G38" s="236">
        <f>SUM(G34:G37)</f>
        <v/>
      </c>
      <c r="H38" s="236">
        <f>SUM(H34:H37)</f>
        <v/>
      </c>
      <c r="I38" s="236">
        <f>SUM(I34:I37)</f>
        <v/>
      </c>
      <c r="J38" s="236">
        <f>SUM(J34:J37)</f>
        <v/>
      </c>
    </row>
    <row r="39" ht="12.75" customHeight="1" s="148">
      <c r="B39" s="213" t="inlineStr">
        <is>
          <t>(-) Taxes</t>
        </is>
      </c>
      <c r="F39" s="227">
        <f>+-F38*$I$6</f>
        <v/>
      </c>
      <c r="G39" s="227">
        <f>+-G38*$I$6</f>
        <v/>
      </c>
      <c r="H39" s="227">
        <f>+-H38*$I$6</f>
        <v/>
      </c>
      <c r="I39" s="227">
        <f>+-I38*$I$6</f>
        <v/>
      </c>
      <c r="J39" s="227">
        <f>+-J38*$I$6</f>
        <v/>
      </c>
    </row>
    <row r="40" ht="12.75" customHeight="1" s="148">
      <c r="B40" s="235" t="inlineStr">
        <is>
          <t>Net Income</t>
        </is>
      </c>
      <c r="C40" s="235" t="n"/>
      <c r="D40" s="235" t="n"/>
      <c r="E40" s="235" t="n"/>
      <c r="F40" s="236">
        <f>SUM(F38:F39)</f>
        <v/>
      </c>
      <c r="G40" s="236">
        <f>SUM(G38:G39)</f>
        <v/>
      </c>
      <c r="H40" s="236">
        <f>SUM(H38:H39)</f>
        <v/>
      </c>
      <c r="I40" s="236">
        <f>SUM(I38:I39)</f>
        <v/>
      </c>
      <c r="J40" s="236">
        <f>SUM(J38:J39)</f>
        <v/>
      </c>
    </row>
    <row r="41" ht="12.75" customHeight="1" s="148">
      <c r="F41" s="227" t="n"/>
      <c r="G41" s="227" t="n"/>
      <c r="H41" s="227" t="n"/>
      <c r="I41" s="227" t="n"/>
      <c r="J41" s="227" t="n"/>
    </row>
    <row r="42" ht="12.75" customHeight="1" s="148">
      <c r="B42" s="213" t="inlineStr">
        <is>
          <t>Incremental D&amp;A</t>
        </is>
      </c>
      <c r="F42" s="227">
        <f>+$E$21/$E$7</f>
        <v/>
      </c>
      <c r="G42" s="227">
        <f>+$E$21/$E$7</f>
        <v/>
      </c>
      <c r="H42" s="227">
        <f>+$E$21/$E$7</f>
        <v/>
      </c>
      <c r="I42" s="227">
        <f>+$E$21/$E$7</f>
        <v/>
      </c>
      <c r="J42" s="227">
        <f>+$E$21/$E$7</f>
        <v/>
      </c>
    </row>
    <row r="43" ht="12.75" customHeight="1" s="148">
      <c r="B43" s="213" t="inlineStr">
        <is>
          <t>DTL</t>
        </is>
      </c>
      <c r="F43" s="227">
        <f>+F42*$D$22</f>
        <v/>
      </c>
      <c r="G43" s="227">
        <f>+G42*$D$22</f>
        <v/>
      </c>
      <c r="H43" s="227">
        <f>+H42*$D$22</f>
        <v/>
      </c>
      <c r="I43" s="227">
        <f>+I42*$D$22</f>
        <v/>
      </c>
      <c r="J43" s="227">
        <f>+J42*$D$22</f>
        <v/>
      </c>
    </row>
    <row r="44" ht="12.75" customHeight="1" s="148">
      <c r="B44" s="213" t="inlineStr">
        <is>
          <t>Capex</t>
        </is>
      </c>
      <c r="F44" s="227">
        <f>-F47*F33</f>
        <v/>
      </c>
      <c r="G44" s="227">
        <f>-G47*G33</f>
        <v/>
      </c>
      <c r="H44" s="227">
        <f>-H47*H33</f>
        <v/>
      </c>
      <c r="I44" s="227">
        <f>-I47*I33</f>
        <v/>
      </c>
      <c r="J44" s="227">
        <f>-J47*J33</f>
        <v/>
      </c>
    </row>
    <row r="46" ht="12.75" customHeight="1" s="148">
      <c r="B46" s="213" t="inlineStr">
        <is>
          <t>D&amp;A as % of Sales</t>
        </is>
      </c>
      <c r="F46" s="244" t="n">
        <v>0.03</v>
      </c>
      <c r="G46" s="244">
        <f>+F46</f>
        <v/>
      </c>
      <c r="H46" s="244">
        <f>+G46</f>
        <v/>
      </c>
      <c r="I46" s="244">
        <f>+H46</f>
        <v/>
      </c>
      <c r="J46" s="244">
        <f>+I46</f>
        <v/>
      </c>
    </row>
    <row r="47" ht="12.75" customHeight="1" s="148">
      <c r="B47" s="213" t="inlineStr">
        <is>
          <t>Capex as % of D&amp;A</t>
        </is>
      </c>
      <c r="F47" s="244" t="n">
        <v>0.8</v>
      </c>
      <c r="G47" s="244">
        <f>+F47</f>
        <v/>
      </c>
      <c r="H47" s="244">
        <f>+G47</f>
        <v/>
      </c>
      <c r="I47" s="244">
        <f>+H47</f>
        <v/>
      </c>
      <c r="J47" s="244">
        <f>+I47</f>
        <v/>
      </c>
    </row>
    <row r="49" ht="12.75" customHeight="1" s="148">
      <c r="A49" s="213" t="inlineStr">
        <is>
          <t>x</t>
        </is>
      </c>
      <c r="B49" s="237" t="inlineStr">
        <is>
          <t>WC Schedule</t>
        </is>
      </c>
      <c r="C49" s="237" t="n"/>
      <c r="D49" s="237" t="n"/>
      <c r="E49" s="237" t="n">
        <v>2013</v>
      </c>
      <c r="F49" s="237">
        <f>E49+1</f>
        <v/>
      </c>
      <c r="G49" s="237">
        <f>F49+1</f>
        <v/>
      </c>
      <c r="H49" s="237">
        <f>G49+1</f>
        <v/>
      </c>
      <c r="I49" s="237">
        <f>H49+1</f>
        <v/>
      </c>
      <c r="J49" s="237">
        <f>I49+1</f>
        <v/>
      </c>
    </row>
    <row r="50" ht="12.75" customHeight="1" s="148">
      <c r="B50" s="213" t="inlineStr">
        <is>
          <t>AR</t>
        </is>
      </c>
      <c r="E50" s="227">
        <f>+E26*E57/$I$5</f>
        <v/>
      </c>
      <c r="F50" s="227">
        <f>+F26*F57/$I$5</f>
        <v/>
      </c>
      <c r="G50" s="227">
        <f>+G26*G57/$I$5</f>
        <v/>
      </c>
      <c r="H50" s="227">
        <f>+H26*H57/$I$5</f>
        <v/>
      </c>
      <c r="I50" s="227">
        <f>+I26*I57/$I$5</f>
        <v/>
      </c>
      <c r="J50" s="227">
        <f>+J26*J57/$I$5</f>
        <v/>
      </c>
    </row>
    <row r="51" ht="12.75" customHeight="1" s="148">
      <c r="B51" s="213" t="inlineStr">
        <is>
          <t>Inventory</t>
        </is>
      </c>
      <c r="E51" s="227">
        <f>-E28/E58</f>
        <v/>
      </c>
      <c r="F51" s="227">
        <f>-F28/F58</f>
        <v/>
      </c>
      <c r="G51" s="227">
        <f>-G28/G58</f>
        <v/>
      </c>
      <c r="H51" s="227">
        <f>-H28/H58</f>
        <v/>
      </c>
      <c r="I51" s="227">
        <f>-I28/I58</f>
        <v/>
      </c>
      <c r="J51" s="227">
        <f>-J28/J58</f>
        <v/>
      </c>
    </row>
    <row r="52" ht="12.75" customHeight="1" s="148">
      <c r="B52" s="213" t="inlineStr">
        <is>
          <t>AP</t>
        </is>
      </c>
      <c r="E52" s="227">
        <f>-E28*E59/$I$5</f>
        <v/>
      </c>
      <c r="F52" s="227">
        <f>-F28*F59/$I$5</f>
        <v/>
      </c>
      <c r="G52" s="227">
        <f>-G28*G59/$I$5</f>
        <v/>
      </c>
      <c r="H52" s="227">
        <f>-H28*H59/$I$5</f>
        <v/>
      </c>
      <c r="I52" s="227">
        <f>-I28*I59/$I$5</f>
        <v/>
      </c>
      <c r="J52" s="227">
        <f>-J28*J59/$I$5</f>
        <v/>
      </c>
    </row>
    <row r="53" ht="12.75" customHeight="1" s="148">
      <c r="B53" s="233" t="inlineStr">
        <is>
          <t>WC</t>
        </is>
      </c>
      <c r="C53" s="233" t="n"/>
      <c r="D53" s="233" t="n"/>
      <c r="E53" s="234">
        <f>+E50+E51-E52</f>
        <v/>
      </c>
      <c r="F53" s="234">
        <f>+F50+F51-F52</f>
        <v/>
      </c>
      <c r="G53" s="234">
        <f>+G50+G51-G52</f>
        <v/>
      </c>
      <c r="H53" s="234">
        <f>+H50+H51-H52</f>
        <v/>
      </c>
      <c r="I53" s="234">
        <f>+I50+I51-I52</f>
        <v/>
      </c>
      <c r="J53" s="234">
        <f>+J50+J51-J52</f>
        <v/>
      </c>
    </row>
    <row r="54" ht="12.75" customHeight="1" s="148">
      <c r="B54" s="213" t="inlineStr">
        <is>
          <t>Change in WC</t>
        </is>
      </c>
      <c r="E54" s="227" t="n"/>
      <c r="F54" s="227">
        <f>+F53-E53</f>
        <v/>
      </c>
      <c r="G54" s="227">
        <f>+G53-F53</f>
        <v/>
      </c>
      <c r="H54" s="227">
        <f>+H53-G53</f>
        <v/>
      </c>
      <c r="I54" s="227">
        <f>+I53-H53</f>
        <v/>
      </c>
      <c r="J54" s="227">
        <f>+J53-I53</f>
        <v/>
      </c>
    </row>
    <row r="56" ht="12.75" customHeight="1" s="148">
      <c r="B56" s="245" t="inlineStr">
        <is>
          <t>Metrics</t>
        </is>
      </c>
    </row>
    <row r="57" ht="12.75" customHeight="1" s="148">
      <c r="B57" s="213" t="inlineStr">
        <is>
          <t>AR</t>
        </is>
      </c>
      <c r="E57" s="247" t="n">
        <v>80</v>
      </c>
      <c r="F57" s="247">
        <f>+E57</f>
        <v/>
      </c>
      <c r="G57" s="247">
        <f>+F57</f>
        <v/>
      </c>
      <c r="H57" s="247">
        <f>+G57</f>
        <v/>
      </c>
      <c r="I57" s="247">
        <f>+H57</f>
        <v/>
      </c>
      <c r="J57" s="247">
        <f>+I57</f>
        <v/>
      </c>
    </row>
    <row r="58" ht="12.75" customHeight="1" s="148">
      <c r="B58" s="213" t="inlineStr">
        <is>
          <t>Inventory</t>
        </is>
      </c>
      <c r="E58" s="248" t="n">
        <v>0.5</v>
      </c>
      <c r="F58" s="248">
        <f>+E58</f>
        <v/>
      </c>
      <c r="G58" s="248">
        <f>+F58</f>
        <v/>
      </c>
      <c r="H58" s="248">
        <f>+G58</f>
        <v/>
      </c>
      <c r="I58" s="248">
        <f>+H58</f>
        <v/>
      </c>
      <c r="J58" s="248">
        <f>+I58</f>
        <v/>
      </c>
    </row>
    <row r="59" ht="12.75" customHeight="1" s="148">
      <c r="B59" s="213" t="inlineStr">
        <is>
          <t>AP</t>
        </is>
      </c>
      <c r="E59" s="247" t="n">
        <v>120</v>
      </c>
      <c r="F59" s="247">
        <f>+E59</f>
        <v/>
      </c>
      <c r="G59" s="247">
        <f>+F59</f>
        <v/>
      </c>
      <c r="H59" s="247">
        <f>+G59</f>
        <v/>
      </c>
      <c r="I59" s="247">
        <f>+H59</f>
        <v/>
      </c>
      <c r="J59" s="247">
        <f>+I59</f>
        <v/>
      </c>
    </row>
    <row r="61" ht="12.75" customHeight="1" s="148">
      <c r="A61" s="213" t="inlineStr">
        <is>
          <t>x</t>
        </is>
      </c>
      <c r="B61" s="237" t="inlineStr">
        <is>
          <t>Cap Table</t>
        </is>
      </c>
      <c r="C61" s="237" t="n"/>
      <c r="D61" s="237" t="n"/>
      <c r="E61" s="237" t="n">
        <v>2013</v>
      </c>
      <c r="F61" s="237">
        <f>E61+1</f>
        <v/>
      </c>
      <c r="G61" s="237">
        <f>F61+1</f>
        <v/>
      </c>
      <c r="H61" s="237">
        <f>G61+1</f>
        <v/>
      </c>
      <c r="I61" s="237">
        <f>H61+1</f>
        <v/>
      </c>
      <c r="J61" s="237">
        <f>I61+1</f>
        <v/>
      </c>
    </row>
    <row r="62" ht="12.75" customHeight="1" s="148">
      <c r="B62" s="213" t="inlineStr">
        <is>
          <t>Cash</t>
        </is>
      </c>
      <c r="E62" s="249" t="n">
        <v>0</v>
      </c>
      <c r="F62" s="228">
        <f>+E62+F92</f>
        <v/>
      </c>
      <c r="G62" s="228">
        <f>+F62+G92</f>
        <v/>
      </c>
      <c r="H62" s="228">
        <f>+G62+H92</f>
        <v/>
      </c>
      <c r="I62" s="228">
        <f>+H62+I92</f>
        <v/>
      </c>
      <c r="J62" s="228">
        <f>+I62+J92</f>
        <v/>
      </c>
    </row>
    <row r="63" ht="12.75" customHeight="1" s="148">
      <c r="E63" s="249" t="n"/>
      <c r="F63" s="228" t="n"/>
      <c r="G63" s="228" t="n"/>
      <c r="H63" s="228" t="n"/>
      <c r="I63" s="228" t="n"/>
      <c r="J63" s="228" t="n"/>
    </row>
    <row r="64" ht="12.75" customHeight="1" s="148">
      <c r="B64" s="213" t="inlineStr">
        <is>
          <t>Revolver</t>
        </is>
      </c>
      <c r="E64" s="249" t="n">
        <v>0</v>
      </c>
      <c r="F64" s="228">
        <f>+F111</f>
        <v/>
      </c>
      <c r="G64" s="228">
        <f>+G111</f>
        <v/>
      </c>
      <c r="H64" s="228">
        <f>+H111</f>
        <v/>
      </c>
      <c r="I64" s="228">
        <f>+I111</f>
        <v/>
      </c>
      <c r="J64" s="228">
        <f>+J111</f>
        <v/>
      </c>
    </row>
    <row r="65" ht="12.75" customHeight="1" s="148">
      <c r="B65" s="213" t="inlineStr">
        <is>
          <t>Term Loan</t>
        </is>
      </c>
      <c r="E65" s="228">
        <f>+E11</f>
        <v/>
      </c>
      <c r="F65" s="228">
        <f>+F121</f>
        <v/>
      </c>
      <c r="G65" s="228">
        <f>+G121</f>
        <v/>
      </c>
      <c r="H65" s="228">
        <f>+H121</f>
        <v/>
      </c>
      <c r="I65" s="228">
        <f>+I121</f>
        <v/>
      </c>
      <c r="J65" s="228">
        <f>+J121</f>
        <v/>
      </c>
    </row>
    <row r="66" ht="12.75" customHeight="1" s="148">
      <c r="B66" s="213" t="inlineStr">
        <is>
          <t>Mezz Loan</t>
        </is>
      </c>
      <c r="E66" s="228">
        <f>+E12</f>
        <v/>
      </c>
      <c r="F66" s="228">
        <f>+F132</f>
        <v/>
      </c>
      <c r="G66" s="228">
        <f>+G132</f>
        <v/>
      </c>
      <c r="H66" s="228">
        <f>+H132</f>
        <v/>
      </c>
      <c r="I66" s="228">
        <f>+I132</f>
        <v/>
      </c>
      <c r="J66" s="228">
        <f>+J132</f>
        <v/>
      </c>
    </row>
    <row r="67" ht="12.75" customHeight="1" s="148">
      <c r="B67" s="233" t="inlineStr">
        <is>
          <t>Total Debt</t>
        </is>
      </c>
      <c r="C67" s="233" t="n"/>
      <c r="D67" s="233" t="n"/>
      <c r="E67" s="234">
        <f>SUM(E64:E66)</f>
        <v/>
      </c>
      <c r="F67" s="234">
        <f>SUM(F64:F66)</f>
        <v/>
      </c>
      <c r="G67" s="234">
        <f>SUM(G64:G66)</f>
        <v/>
      </c>
      <c r="H67" s="234">
        <f>SUM(H64:H66)</f>
        <v/>
      </c>
      <c r="I67" s="234">
        <f>SUM(I64:I66)</f>
        <v/>
      </c>
      <c r="J67" s="234">
        <f>SUM(J64:J66)</f>
        <v/>
      </c>
    </row>
    <row r="68" ht="12.75" customHeight="1" s="148">
      <c r="B68" s="213" t="inlineStr">
        <is>
          <t>Equity</t>
        </is>
      </c>
      <c r="E68" s="228">
        <f>SUM(E13:E14)-J12</f>
        <v/>
      </c>
      <c r="F68" s="228">
        <f>+E68+F40</f>
        <v/>
      </c>
      <c r="G68" s="228">
        <f>+F68+G40</f>
        <v/>
      </c>
      <c r="H68" s="228">
        <f>+G68+H40</f>
        <v/>
      </c>
      <c r="I68" s="228">
        <f>+H68+I40</f>
        <v/>
      </c>
      <c r="J68" s="228">
        <f>+I68+J40</f>
        <v/>
      </c>
    </row>
    <row r="69" ht="12.75" customHeight="1" s="148">
      <c r="B69" s="233" t="inlineStr">
        <is>
          <t>Total Cap</t>
        </is>
      </c>
      <c r="C69" s="233" t="n"/>
      <c r="D69" s="233" t="n"/>
      <c r="E69" s="234">
        <f>SUM(E67:E68)</f>
        <v/>
      </c>
      <c r="F69" s="234">
        <f>SUM(F67:F68)</f>
        <v/>
      </c>
      <c r="G69" s="234">
        <f>SUM(G67:G68)</f>
        <v/>
      </c>
      <c r="H69" s="234">
        <f>SUM(H67:H68)</f>
        <v/>
      </c>
      <c r="I69" s="234">
        <f>SUM(I67:I68)</f>
        <v/>
      </c>
      <c r="J69" s="234">
        <f>SUM(J67:J68)</f>
        <v/>
      </c>
    </row>
    <row r="71" ht="12.75" customHeight="1" s="148">
      <c r="B71" s="213" t="inlineStr">
        <is>
          <t>Term Loan / EBITDA</t>
        </is>
      </c>
      <c r="E71" s="250">
        <f>+E65/$E$31</f>
        <v/>
      </c>
      <c r="F71" s="250">
        <f>+F65/$E$31</f>
        <v/>
      </c>
      <c r="G71" s="250">
        <f>+G65/$E$31</f>
        <v/>
      </c>
      <c r="H71" s="250">
        <f>+H65/$E$31</f>
        <v/>
      </c>
      <c r="I71" s="250">
        <f>+I65/$E$31</f>
        <v/>
      </c>
      <c r="J71" s="250">
        <f>+J65/$E$31</f>
        <v/>
      </c>
    </row>
    <row r="72" ht="12.75" customHeight="1" s="148">
      <c r="B72" s="213" t="inlineStr">
        <is>
          <t>Mezz Loan / EBITDA</t>
        </is>
      </c>
      <c r="E72" s="250">
        <f>+E66/$E$31</f>
        <v/>
      </c>
      <c r="F72" s="250">
        <f>+F66/$E$31</f>
        <v/>
      </c>
      <c r="G72" s="250">
        <f>+G66/$E$31</f>
        <v/>
      </c>
      <c r="H72" s="250">
        <f>+H66/$E$31</f>
        <v/>
      </c>
      <c r="I72" s="250">
        <f>+I66/$E$31</f>
        <v/>
      </c>
      <c r="J72" s="250">
        <f>+J66/$E$31</f>
        <v/>
      </c>
    </row>
    <row r="73" ht="12.75" customHeight="1" s="148">
      <c r="B73" s="213" t="inlineStr">
        <is>
          <t>Total Debt / EBITDA</t>
        </is>
      </c>
      <c r="E73" s="250">
        <f>+E67/$E$31</f>
        <v/>
      </c>
      <c r="F73" s="250">
        <f>+F67/$E$31</f>
        <v/>
      </c>
      <c r="G73" s="250">
        <f>+G67/$E$31</f>
        <v/>
      </c>
      <c r="H73" s="250">
        <f>+H67/$E$31</f>
        <v/>
      </c>
      <c r="I73" s="250">
        <f>+I67/$E$31</f>
        <v/>
      </c>
      <c r="J73" s="250">
        <f>+J67/$E$31</f>
        <v/>
      </c>
    </row>
    <row r="74" ht="12.75" customHeight="1" s="148">
      <c r="B74" s="213" t="inlineStr">
        <is>
          <t>Total Debt / Cap</t>
        </is>
      </c>
      <c r="E74" s="251">
        <f>+E67/E69</f>
        <v/>
      </c>
      <c r="F74" s="251">
        <f>+F67/F69</f>
        <v/>
      </c>
      <c r="G74" s="251">
        <f>+G67/G69</f>
        <v/>
      </c>
      <c r="H74" s="251">
        <f>+H67/H69</f>
        <v/>
      </c>
      <c r="I74" s="251">
        <f>+I67/I69</f>
        <v/>
      </c>
      <c r="J74" s="251">
        <f>+J67/J69</f>
        <v/>
      </c>
    </row>
    <row r="76" ht="12.75" customHeight="1" s="148">
      <c r="A76" s="213" t="inlineStr">
        <is>
          <t>x</t>
        </is>
      </c>
      <c r="B76" s="237" t="inlineStr">
        <is>
          <t>Cash Flow Statement</t>
        </is>
      </c>
      <c r="C76" s="237" t="n"/>
      <c r="D76" s="237" t="n"/>
      <c r="E76" s="237" t="n">
        <v>2013</v>
      </c>
      <c r="F76" s="237">
        <f>E76+1</f>
        <v/>
      </c>
      <c r="G76" s="237">
        <f>F76+1</f>
        <v/>
      </c>
      <c r="H76" s="237">
        <f>G76+1</f>
        <v/>
      </c>
      <c r="I76" s="237">
        <f>H76+1</f>
        <v/>
      </c>
      <c r="J76" s="237">
        <f>I76+1</f>
        <v/>
      </c>
    </row>
    <row r="77" ht="12.75" customHeight="1" s="148">
      <c r="B77" s="213" t="inlineStr">
        <is>
          <t>Net Income</t>
        </is>
      </c>
      <c r="F77" s="227">
        <f>+F40</f>
        <v/>
      </c>
      <c r="G77" s="227">
        <f>+G40</f>
        <v/>
      </c>
      <c r="H77" s="227">
        <f>+H40</f>
        <v/>
      </c>
      <c r="I77" s="227">
        <f>+I40</f>
        <v/>
      </c>
      <c r="J77" s="227">
        <f>+J40</f>
        <v/>
      </c>
    </row>
    <row r="78" ht="12.75" customHeight="1" s="148">
      <c r="B78" s="213" t="inlineStr">
        <is>
          <t>(+) D&amp;A</t>
        </is>
      </c>
      <c r="F78" s="227">
        <f>+-F33</f>
        <v/>
      </c>
      <c r="G78" s="227">
        <f>+-G33</f>
        <v/>
      </c>
      <c r="H78" s="227">
        <f>+-H33</f>
        <v/>
      </c>
      <c r="I78" s="227">
        <f>+-I33</f>
        <v/>
      </c>
      <c r="J78" s="227">
        <f>+-J33</f>
        <v/>
      </c>
    </row>
    <row r="79" ht="12.75" customHeight="1" s="148">
      <c r="B79" s="213" t="inlineStr">
        <is>
          <t>(-) DTL</t>
        </is>
      </c>
      <c r="F79" s="227">
        <f>+F43</f>
        <v/>
      </c>
      <c r="G79" s="227">
        <f>+G43</f>
        <v/>
      </c>
      <c r="H79" s="227">
        <f>+H43</f>
        <v/>
      </c>
      <c r="I79" s="227">
        <f>+I43</f>
        <v/>
      </c>
      <c r="J79" s="227">
        <f>+J43</f>
        <v/>
      </c>
    </row>
    <row r="80" ht="12.75" customHeight="1" s="148">
      <c r="B80" s="213" t="inlineStr">
        <is>
          <t>(+) PIK</t>
        </is>
      </c>
      <c r="F80" s="227">
        <f>-+F139</f>
        <v/>
      </c>
      <c r="G80" s="227">
        <f>-+G139</f>
        <v/>
      </c>
      <c r="H80" s="227">
        <f>-+H139</f>
        <v/>
      </c>
      <c r="I80" s="227">
        <f>-+I139</f>
        <v/>
      </c>
      <c r="J80" s="227">
        <f>-+J139</f>
        <v/>
      </c>
    </row>
    <row r="81" ht="12.75" customHeight="1" s="148">
      <c r="B81" s="213" t="inlineStr">
        <is>
          <t>(+) Amort Fee</t>
        </is>
      </c>
      <c r="F81" s="227">
        <f>+-F37</f>
        <v/>
      </c>
      <c r="G81" s="227">
        <f>+-G37</f>
        <v/>
      </c>
      <c r="H81" s="227">
        <f>+-H37</f>
        <v/>
      </c>
      <c r="I81" s="227">
        <f>+-I37</f>
        <v/>
      </c>
      <c r="J81" s="227">
        <f>+-J37</f>
        <v/>
      </c>
    </row>
    <row r="82" ht="12.75" customHeight="1" s="148">
      <c r="B82" s="213" t="inlineStr">
        <is>
          <t>(-) Change WC</t>
        </is>
      </c>
      <c r="F82" s="227">
        <f>+-F54</f>
        <v/>
      </c>
      <c r="G82" s="227">
        <f>+-G54</f>
        <v/>
      </c>
      <c r="H82" s="227">
        <f>+-H54</f>
        <v/>
      </c>
      <c r="I82" s="227">
        <f>+-I54</f>
        <v/>
      </c>
      <c r="J82" s="227">
        <f>+-J54</f>
        <v/>
      </c>
    </row>
    <row r="83" ht="12.75" customHeight="1" s="148">
      <c r="B83" s="233" t="inlineStr">
        <is>
          <t>CFO</t>
        </is>
      </c>
      <c r="C83" s="233" t="n"/>
      <c r="D83" s="233" t="n"/>
      <c r="E83" s="233" t="n"/>
      <c r="F83" s="234">
        <f>SUM(F77:F82)</f>
        <v/>
      </c>
      <c r="G83" s="234">
        <f>SUM(G77:G82)</f>
        <v/>
      </c>
      <c r="H83" s="234">
        <f>SUM(H77:H82)</f>
        <v/>
      </c>
      <c r="I83" s="234">
        <f>SUM(I77:I82)</f>
        <v/>
      </c>
      <c r="J83" s="234">
        <f>SUM(J77:J82)</f>
        <v/>
      </c>
    </row>
    <row r="84" ht="12.75" customHeight="1" s="148">
      <c r="F84" s="227" t="n"/>
      <c r="G84" s="227" t="n"/>
      <c r="H84" s="227" t="n"/>
      <c r="I84" s="227" t="n"/>
      <c r="J84" s="227" t="n"/>
    </row>
    <row r="85" ht="12.75" customHeight="1" s="148">
      <c r="B85" s="213" t="inlineStr">
        <is>
          <t>Capex</t>
        </is>
      </c>
      <c r="F85" s="227">
        <f>+-F44</f>
        <v/>
      </c>
      <c r="G85" s="227">
        <f>+-G44</f>
        <v/>
      </c>
      <c r="H85" s="227">
        <f>+-H44</f>
        <v/>
      </c>
      <c r="I85" s="227">
        <f>+-I44</f>
        <v/>
      </c>
      <c r="J85" s="227">
        <f>+-J44</f>
        <v/>
      </c>
    </row>
    <row r="86" ht="12.75" customHeight="1" s="148">
      <c r="B86" s="233" t="inlineStr">
        <is>
          <t>CFI</t>
        </is>
      </c>
      <c r="C86" s="233" t="n"/>
      <c r="D86" s="233" t="n"/>
      <c r="E86" s="233" t="n"/>
      <c r="F86" s="234">
        <f>SUM(F85)</f>
        <v/>
      </c>
      <c r="G86" s="234">
        <f>SUM(G85)</f>
        <v/>
      </c>
      <c r="H86" s="234">
        <f>SUM(H85)</f>
        <v/>
      </c>
      <c r="I86" s="234">
        <f>SUM(I85)</f>
        <v/>
      </c>
      <c r="J86" s="234">
        <f>SUM(J85)</f>
        <v/>
      </c>
    </row>
    <row r="87" ht="12.75" customHeight="1" s="148">
      <c r="F87" s="227" t="n"/>
      <c r="G87" s="227" t="n"/>
      <c r="H87" s="227" t="n"/>
      <c r="I87" s="227" t="n"/>
      <c r="J87" s="227" t="n"/>
    </row>
    <row r="88" ht="12.75" customHeight="1" s="148">
      <c r="B88" s="213" t="inlineStr">
        <is>
          <t>Mand. Paymnet</t>
        </is>
      </c>
      <c r="F88" s="227">
        <f>+F119</f>
        <v/>
      </c>
      <c r="G88" s="227">
        <f>+G119</f>
        <v/>
      </c>
      <c r="H88" s="227">
        <f>+H119</f>
        <v/>
      </c>
      <c r="I88" s="227">
        <f>+I119</f>
        <v/>
      </c>
      <c r="J88" s="227">
        <f>+J119</f>
        <v/>
      </c>
    </row>
    <row r="89" ht="12.75" customHeight="1" s="148">
      <c r="B89" s="213" t="inlineStr">
        <is>
          <t>Optional Payment</t>
        </is>
      </c>
      <c r="F89" s="227">
        <f>+SUM(F102,F104)</f>
        <v/>
      </c>
      <c r="G89" s="227">
        <f>+SUM(G102,G104)</f>
        <v/>
      </c>
      <c r="H89" s="227">
        <f>+SUM(H102,H104)</f>
        <v/>
      </c>
      <c r="I89" s="227">
        <f>+SUM(I102,I104)</f>
        <v/>
      </c>
      <c r="J89" s="227">
        <f>+SUM(J102,J104)</f>
        <v/>
      </c>
    </row>
    <row r="90" ht="12.75" customHeight="1" s="148">
      <c r="B90" s="233" t="inlineStr">
        <is>
          <t>CFF</t>
        </is>
      </c>
      <c r="C90" s="233" t="n"/>
      <c r="D90" s="233" t="n"/>
      <c r="E90" s="233" t="n"/>
      <c r="F90" s="234">
        <f>SUM(F88:F89)</f>
        <v/>
      </c>
      <c r="G90" s="234">
        <f>SUM(G88:G89)</f>
        <v/>
      </c>
      <c r="H90" s="234">
        <f>SUM(H88:H89)</f>
        <v/>
      </c>
      <c r="I90" s="234">
        <f>SUM(I88:I89)</f>
        <v/>
      </c>
      <c r="J90" s="234">
        <f>SUM(J88:J89)</f>
        <v/>
      </c>
    </row>
    <row r="91" ht="12.75" customHeight="1" s="148">
      <c r="F91" s="227" t="n"/>
      <c r="G91" s="227" t="n"/>
      <c r="H91" s="227" t="n"/>
      <c r="I91" s="227" t="n"/>
      <c r="J91" s="227" t="n"/>
    </row>
    <row r="92" ht="12.75" customHeight="1" s="148">
      <c r="B92" s="213" t="inlineStr">
        <is>
          <t>Change in Cash</t>
        </is>
      </c>
      <c r="F92" s="227">
        <f>+SUM(F83,F86,F90)</f>
        <v/>
      </c>
      <c r="G92" s="227">
        <f>+SUM(G83,G86,G90)</f>
        <v/>
      </c>
      <c r="H92" s="227">
        <f>+SUM(H83,H86,H90)</f>
        <v/>
      </c>
      <c r="I92" s="227">
        <f>+SUM(I83,I86,I90)</f>
        <v/>
      </c>
      <c r="J92" s="227">
        <f>+SUM(J83,J86,J90)</f>
        <v/>
      </c>
    </row>
    <row r="94" ht="12.75" customHeight="1" s="148">
      <c r="A94" s="213" t="inlineStr">
        <is>
          <t>x</t>
        </is>
      </c>
      <c r="B94" s="237" t="inlineStr">
        <is>
          <t>Debt Paydown</t>
        </is>
      </c>
      <c r="C94" s="237" t="n"/>
      <c r="D94" s="237" t="n"/>
      <c r="E94" s="237" t="n">
        <v>2013</v>
      </c>
      <c r="F94" s="237">
        <f>E94+1</f>
        <v/>
      </c>
      <c r="G94" s="237">
        <f>F94+1</f>
        <v/>
      </c>
      <c r="H94" s="237">
        <f>G94+1</f>
        <v/>
      </c>
      <c r="I94" s="237">
        <f>H94+1</f>
        <v/>
      </c>
      <c r="J94" s="237">
        <f>I94+1</f>
        <v/>
      </c>
    </row>
    <row r="95" ht="12.75" customHeight="1" s="148">
      <c r="B95" s="213" t="inlineStr">
        <is>
          <t>Beg Cash</t>
        </is>
      </c>
      <c r="E95" s="227" t="n"/>
      <c r="F95" s="227">
        <f>+E62</f>
        <v/>
      </c>
      <c r="G95" s="227">
        <f>+F62</f>
        <v/>
      </c>
      <c r="H95" s="227">
        <f>+G62</f>
        <v/>
      </c>
      <c r="I95" s="227">
        <f>+H62</f>
        <v/>
      </c>
      <c r="J95" s="227">
        <f>+I62</f>
        <v/>
      </c>
    </row>
    <row r="96" ht="12.75" customHeight="1" s="148">
      <c r="B96" s="213" t="inlineStr">
        <is>
          <t>(-) Min Cash</t>
        </is>
      </c>
      <c r="E96" s="227" t="n"/>
      <c r="F96" s="249" t="n">
        <v>-5</v>
      </c>
      <c r="G96" s="249" t="n">
        <v>-5</v>
      </c>
      <c r="H96" s="249" t="n">
        <v>-5</v>
      </c>
      <c r="I96" s="249" t="n">
        <v>-5</v>
      </c>
      <c r="J96" s="249" t="n">
        <v>-5</v>
      </c>
    </row>
    <row r="97" ht="12.75" customHeight="1" s="148">
      <c r="B97" s="213" t="inlineStr">
        <is>
          <t>(+) CFO + CFI</t>
        </is>
      </c>
      <c r="E97" s="227" t="n"/>
      <c r="F97" s="227">
        <f>+F83+F86</f>
        <v/>
      </c>
      <c r="G97" s="227">
        <f>+G83+G86</f>
        <v/>
      </c>
      <c r="H97" s="227">
        <f>+H83+H86</f>
        <v/>
      </c>
      <c r="I97" s="227">
        <f>+I83+I86</f>
        <v/>
      </c>
      <c r="J97" s="227">
        <f>+J83+J86</f>
        <v/>
      </c>
    </row>
    <row r="98" ht="12.75" customHeight="1" s="148">
      <c r="B98" s="213" t="inlineStr">
        <is>
          <t>(-) Mand. Payment</t>
        </is>
      </c>
      <c r="E98" s="227" t="n"/>
      <c r="F98" s="227">
        <f>+F88</f>
        <v/>
      </c>
      <c r="G98" s="227">
        <f>+G88</f>
        <v/>
      </c>
      <c r="H98" s="227">
        <f>+H88</f>
        <v/>
      </c>
      <c r="I98" s="227">
        <f>+I88</f>
        <v/>
      </c>
      <c r="J98" s="227">
        <f>+J88</f>
        <v/>
      </c>
    </row>
    <row r="99" ht="12.75" customHeight="1" s="148">
      <c r="B99" s="233" t="inlineStr">
        <is>
          <t>Cash Avail for Revolver</t>
        </is>
      </c>
      <c r="C99" s="233" t="n"/>
      <c r="D99" s="233" t="n"/>
      <c r="E99" s="234" t="n"/>
      <c r="F99" s="234">
        <f>SUM(F95:F98)</f>
        <v/>
      </c>
      <c r="G99" s="234">
        <f>SUM(G95:G98)</f>
        <v/>
      </c>
      <c r="H99" s="234">
        <f>SUM(H95:H98)</f>
        <v/>
      </c>
      <c r="I99" s="234">
        <f>SUM(I95:I98)</f>
        <v/>
      </c>
      <c r="J99" s="234">
        <f>SUM(J95:J98)</f>
        <v/>
      </c>
    </row>
    <row r="100" ht="12.75" customHeight="1" s="148">
      <c r="B100" s="213" t="inlineStr">
        <is>
          <t>(-) Drawdown / Paydown</t>
        </is>
      </c>
      <c r="E100" s="227" t="n"/>
      <c r="F100" s="227">
        <f>+SUM(F109:F110)</f>
        <v/>
      </c>
      <c r="G100" s="227">
        <f>+SUM(G109:G110)</f>
        <v/>
      </c>
      <c r="H100" s="227">
        <f>+SUM(H109:H110)</f>
        <v/>
      </c>
      <c r="I100" s="227">
        <f>+SUM(I109:I110)</f>
        <v/>
      </c>
      <c r="J100" s="227">
        <f>+SUM(J109:J110)</f>
        <v/>
      </c>
    </row>
    <row r="101" ht="12.75" customHeight="1" s="148">
      <c r="B101" s="233" t="inlineStr">
        <is>
          <t>Cash Avail for Term Loan</t>
        </is>
      </c>
      <c r="C101" s="233" t="n"/>
      <c r="D101" s="233" t="n"/>
      <c r="E101" s="234" t="n"/>
      <c r="F101" s="234">
        <f>SUM(F99:F100)</f>
        <v/>
      </c>
      <c r="G101" s="234">
        <f>SUM(G99:G100)</f>
        <v/>
      </c>
      <c r="H101" s="234">
        <f>SUM(H99:H100)</f>
        <v/>
      </c>
      <c r="I101" s="234">
        <f>SUM(I99:I100)</f>
        <v/>
      </c>
      <c r="J101" s="234">
        <f>SUM(J99:J100)</f>
        <v/>
      </c>
    </row>
    <row r="102" ht="12.75" customHeight="1" s="148">
      <c r="B102" s="213" t="inlineStr">
        <is>
          <t>(-) Paydown</t>
        </is>
      </c>
      <c r="E102" s="227" t="n"/>
      <c r="F102" s="227">
        <f>+F120</f>
        <v/>
      </c>
      <c r="G102" s="227">
        <f>+G120</f>
        <v/>
      </c>
      <c r="H102" s="227">
        <f>+H120</f>
        <v/>
      </c>
      <c r="I102" s="227">
        <f>+I120</f>
        <v/>
      </c>
      <c r="J102" s="227">
        <f>+J120</f>
        <v/>
      </c>
    </row>
    <row r="103" ht="12.75" customHeight="1" s="148">
      <c r="B103" s="233" t="inlineStr">
        <is>
          <t>Cash Avail for Mezz Loan</t>
        </is>
      </c>
      <c r="C103" s="233" t="n"/>
      <c r="D103" s="233" t="n"/>
      <c r="E103" s="234" t="n"/>
      <c r="F103" s="234">
        <f>SUM(F101:F102)</f>
        <v/>
      </c>
      <c r="G103" s="234">
        <f>SUM(G101:G102)</f>
        <v/>
      </c>
      <c r="H103" s="234">
        <f>SUM(H101:H102)</f>
        <v/>
      </c>
      <c r="I103" s="234">
        <f>SUM(I101:I102)</f>
        <v/>
      </c>
      <c r="J103" s="234">
        <f>SUM(J101:J102)</f>
        <v/>
      </c>
    </row>
    <row r="104" ht="12.75" customHeight="1" s="148">
      <c r="B104" s="213" t="inlineStr">
        <is>
          <t>(-) Paydown</t>
        </is>
      </c>
      <c r="E104" s="227" t="n"/>
      <c r="F104" s="227">
        <f>+F131</f>
        <v/>
      </c>
      <c r="G104" s="227">
        <f>+G131</f>
        <v/>
      </c>
      <c r="H104" s="227">
        <f>+H131</f>
        <v/>
      </c>
      <c r="I104" s="227">
        <f>+I131</f>
        <v/>
      </c>
      <c r="J104" s="227">
        <f>+J131</f>
        <v/>
      </c>
    </row>
    <row r="105" ht="12.75" customHeight="1" s="148">
      <c r="B105" s="233" t="inlineStr">
        <is>
          <t>Excess Cash</t>
        </is>
      </c>
      <c r="C105" s="233" t="n"/>
      <c r="D105" s="233" t="n"/>
      <c r="E105" s="234" t="n"/>
      <c r="F105" s="234">
        <f>SUM(F103:F104)</f>
        <v/>
      </c>
      <c r="G105" s="234">
        <f>SUM(G103:G104)</f>
        <v/>
      </c>
      <c r="H105" s="234">
        <f>SUM(H103:H104)</f>
        <v/>
      </c>
      <c r="I105" s="234">
        <f>SUM(I103:I104)</f>
        <v/>
      </c>
      <c r="J105" s="234">
        <f>SUM(J103:J104)</f>
        <v/>
      </c>
    </row>
    <row r="106" ht="12.75" customHeight="1" s="148">
      <c r="E106" s="227" t="n"/>
      <c r="F106" s="227" t="n"/>
      <c r="G106" s="227" t="n"/>
      <c r="H106" s="227" t="n"/>
      <c r="I106" s="227" t="n"/>
      <c r="J106" s="227" t="n"/>
    </row>
    <row r="107" ht="12.75" customHeight="1" s="148">
      <c r="B107" s="245" t="inlineStr">
        <is>
          <t>Revolver</t>
        </is>
      </c>
      <c r="E107" s="227" t="n"/>
      <c r="F107" s="227" t="n"/>
      <c r="G107" s="227" t="n"/>
      <c r="H107" s="227" t="n"/>
      <c r="I107" s="227" t="n"/>
      <c r="J107" s="227" t="n"/>
    </row>
    <row r="108" ht="12.75" customHeight="1" s="148">
      <c r="B108" s="213" t="inlineStr">
        <is>
          <t>Beg</t>
        </is>
      </c>
      <c r="E108" s="227" t="n"/>
      <c r="F108" s="227">
        <f>+E111</f>
        <v/>
      </c>
      <c r="G108" s="227">
        <f>+F111</f>
        <v/>
      </c>
      <c r="H108" s="227">
        <f>+G111</f>
        <v/>
      </c>
      <c r="I108" s="227">
        <f>+H111</f>
        <v/>
      </c>
      <c r="J108" s="227">
        <f>+I111</f>
        <v/>
      </c>
    </row>
    <row r="109" ht="12.75" customHeight="1" s="148">
      <c r="B109" s="213" t="inlineStr">
        <is>
          <t>Drawdown</t>
        </is>
      </c>
      <c r="E109" s="227" t="n"/>
      <c r="F109" s="227">
        <f>+-MIN(F99,0)</f>
        <v/>
      </c>
      <c r="G109" s="227">
        <f>+-MIN(G99,0)</f>
        <v/>
      </c>
      <c r="H109" s="227">
        <f>+-MIN(H99,0)</f>
        <v/>
      </c>
      <c r="I109" s="227">
        <f>+-MIN(I99,0)</f>
        <v/>
      </c>
      <c r="J109" s="227">
        <f>+-MIN(J99,0)</f>
        <v/>
      </c>
    </row>
    <row r="110" ht="12.75" customHeight="1" s="148">
      <c r="B110" s="213" t="inlineStr">
        <is>
          <t>Paydown</t>
        </is>
      </c>
      <c r="E110" s="227" t="n"/>
      <c r="F110" s="227">
        <f>+IF(F108&gt;0,-MIN(F108,F99),0)</f>
        <v/>
      </c>
      <c r="G110" s="227">
        <f>+IF(G108&gt;0,-MIN(G108,G99),0)</f>
        <v/>
      </c>
      <c r="H110" s="227">
        <f>+IF(H108&gt;0,-MIN(H108,H99),0)</f>
        <v/>
      </c>
      <c r="I110" s="227">
        <f>+IF(I108&gt;0,-MIN(I108,I99),0)</f>
        <v/>
      </c>
      <c r="J110" s="227">
        <f>+IF(J108&gt;0,-MIN(J108,J99),0)</f>
        <v/>
      </c>
    </row>
    <row r="111" ht="12.75" customHeight="1" s="148">
      <c r="B111" s="233" t="inlineStr">
        <is>
          <t>End</t>
        </is>
      </c>
      <c r="C111" s="233" t="n"/>
      <c r="D111" s="233" t="n"/>
      <c r="E111" s="252" t="n">
        <v>0</v>
      </c>
      <c r="F111" s="234">
        <f>SUM(F108:F110)</f>
        <v/>
      </c>
      <c r="G111" s="234">
        <f>SUM(G108:G110)</f>
        <v/>
      </c>
      <c r="H111" s="234">
        <f>SUM(H108:H110)</f>
        <v/>
      </c>
      <c r="I111" s="234">
        <f>SUM(I108:I110)</f>
        <v/>
      </c>
      <c r="J111" s="234">
        <f>SUM(J108:J110)</f>
        <v/>
      </c>
    </row>
    <row r="112" ht="12.75" customHeight="1" s="148">
      <c r="E112" s="227" t="n"/>
      <c r="F112" s="227" t="n"/>
      <c r="G112" s="227" t="n"/>
      <c r="H112" s="227" t="n"/>
      <c r="I112" s="227" t="n"/>
      <c r="J112" s="227" t="n"/>
    </row>
    <row r="113" ht="12.75" customHeight="1" s="148">
      <c r="B113" s="213" t="inlineStr">
        <is>
          <t>Avg</t>
        </is>
      </c>
      <c r="E113" s="227" t="n"/>
      <c r="F113" s="227">
        <f>+AVERAGE(E111:F111)</f>
        <v/>
      </c>
      <c r="G113" s="227">
        <f>+AVERAGE(F111:G111)</f>
        <v/>
      </c>
      <c r="H113" s="227">
        <f>+AVERAGE(G111:H111)</f>
        <v/>
      </c>
      <c r="I113" s="227">
        <f>+AVERAGE(H111:I111)</f>
        <v/>
      </c>
      <c r="J113" s="227">
        <f>+AVERAGE(I111:J111)</f>
        <v/>
      </c>
    </row>
    <row r="114" ht="12.75" customHeight="1" s="148">
      <c r="B114" s="213" t="inlineStr">
        <is>
          <t>Interest Rate</t>
        </is>
      </c>
      <c r="F114" s="244" t="n">
        <v>0.04</v>
      </c>
      <c r="G114" s="244">
        <f>+F114</f>
        <v/>
      </c>
      <c r="H114" s="244">
        <f>+G114</f>
        <v/>
      </c>
      <c r="I114" s="244">
        <f>+H114</f>
        <v/>
      </c>
      <c r="J114" s="244">
        <f>+I114</f>
        <v/>
      </c>
    </row>
    <row r="115" ht="12.75" customHeight="1" s="148">
      <c r="B115" s="213" t="inlineStr">
        <is>
          <t>Int Expense</t>
        </is>
      </c>
      <c r="E115" s="227" t="n"/>
      <c r="F115" s="227">
        <f>+-F113*F114</f>
        <v/>
      </c>
      <c r="G115" s="227">
        <f>+-G113*G114</f>
        <v/>
      </c>
      <c r="H115" s="227">
        <f>+-H113*H114</f>
        <v/>
      </c>
      <c r="I115" s="227">
        <f>+-I113*I114</f>
        <v/>
      </c>
      <c r="J115" s="227">
        <f>+-J113*J114</f>
        <v/>
      </c>
    </row>
    <row r="116" ht="12.75" customHeight="1" s="148">
      <c r="E116" s="227" t="n"/>
      <c r="F116" s="227" t="n"/>
      <c r="G116" s="227" t="n"/>
      <c r="H116" s="227" t="n"/>
      <c r="I116" s="227" t="n"/>
      <c r="J116" s="227" t="n"/>
    </row>
    <row r="117" ht="12.75" customHeight="1" s="148">
      <c r="B117" s="245" t="inlineStr">
        <is>
          <t>Term Loan</t>
        </is>
      </c>
      <c r="E117" s="227" t="n"/>
      <c r="F117" s="227" t="n"/>
      <c r="G117" s="227" t="n"/>
      <c r="H117" s="227" t="n"/>
      <c r="I117" s="227" t="n"/>
      <c r="J117" s="227" t="n"/>
    </row>
    <row r="118" ht="12.75" customHeight="1" s="148">
      <c r="B118" s="213" t="inlineStr">
        <is>
          <t>Beg</t>
        </is>
      </c>
      <c r="E118" s="227" t="n"/>
      <c r="F118" s="227">
        <f>+E121</f>
        <v/>
      </c>
      <c r="G118" s="227">
        <f>+F121</f>
        <v/>
      </c>
      <c r="H118" s="227">
        <f>+G121</f>
        <v/>
      </c>
      <c r="I118" s="227">
        <f>+H121</f>
        <v/>
      </c>
      <c r="J118" s="227">
        <f>+I121</f>
        <v/>
      </c>
    </row>
    <row r="119" ht="12.75" customHeight="1" s="148">
      <c r="B119" s="213" t="inlineStr">
        <is>
          <t>Mand. Amort</t>
        </is>
      </c>
      <c r="E119" s="227" t="n"/>
      <c r="F119" s="253">
        <f>-IF($E$121+F118*F126&gt;0,$E$121*F126,0)</f>
        <v/>
      </c>
      <c r="G119" s="253">
        <f>-IF($E$121+G118*G126&gt;0,$E$121*G126,0)</f>
        <v/>
      </c>
      <c r="H119" s="253">
        <f>-IF($E$121+H118*H126&gt;0,$E$121*H126,0)</f>
        <v/>
      </c>
      <c r="I119" s="253">
        <f>-IF($E$121+I118*I126&gt;0,$E$121*I126,0)</f>
        <v/>
      </c>
      <c r="J119" s="253">
        <f>-IF($E$121+J118*J126&gt;0,$E$121*J126,0)</f>
        <v/>
      </c>
    </row>
    <row r="120" ht="12.75" customHeight="1" s="148">
      <c r="B120" s="213" t="inlineStr">
        <is>
          <t>Paydown</t>
        </is>
      </c>
      <c r="E120" s="227" t="n"/>
      <c r="F120" s="227">
        <f>+-MIN(SUM(F118:F119),F101)</f>
        <v/>
      </c>
      <c r="G120" s="227">
        <f>+-MIN(SUM(G118:G119),G101)</f>
        <v/>
      </c>
      <c r="H120" s="227">
        <f>+-MIN(SUM(H118:H119),H101)</f>
        <v/>
      </c>
      <c r="I120" s="227">
        <f>+-MIN(SUM(I118:I119),I101)</f>
        <v/>
      </c>
      <c r="J120" s="227">
        <f>+-MIN(SUM(J118:J119),J101)</f>
        <v/>
      </c>
    </row>
    <row r="121" ht="12.75" customHeight="1" s="148">
      <c r="B121" s="233" t="inlineStr">
        <is>
          <t>End</t>
        </is>
      </c>
      <c r="C121" s="233" t="n"/>
      <c r="D121" s="233" t="n"/>
      <c r="E121" s="252">
        <f>+E11</f>
        <v/>
      </c>
      <c r="F121" s="234">
        <f>SUM(F118:F120)</f>
        <v/>
      </c>
      <c r="G121" s="234">
        <f>SUM(G118:G120)</f>
        <v/>
      </c>
      <c r="H121" s="234">
        <f>SUM(H118:H120)</f>
        <v/>
      </c>
      <c r="I121" s="234">
        <f>SUM(I118:I120)</f>
        <v/>
      </c>
      <c r="J121" s="234">
        <f>SUM(J118:J120)</f>
        <v/>
      </c>
    </row>
    <row r="122" ht="12.75" customHeight="1" s="148">
      <c r="E122" s="227" t="n"/>
      <c r="F122" s="227" t="n"/>
      <c r="G122" s="227" t="n"/>
      <c r="H122" s="227" t="n"/>
      <c r="I122" s="227" t="n"/>
      <c r="J122" s="227" t="n"/>
    </row>
    <row r="123" ht="12.75" customHeight="1" s="148">
      <c r="B123" s="213" t="inlineStr">
        <is>
          <t>Avg</t>
        </is>
      </c>
      <c r="E123" s="227" t="n"/>
      <c r="F123" s="227">
        <f>+AVERAGE(E121:F121)</f>
        <v/>
      </c>
      <c r="G123" s="227">
        <f>+AVERAGE(F121:G121)</f>
        <v/>
      </c>
      <c r="H123" s="227">
        <f>+AVERAGE(G121:H121)</f>
        <v/>
      </c>
      <c r="I123" s="227">
        <f>+AVERAGE(H121:I121)</f>
        <v/>
      </c>
      <c r="J123" s="227">
        <f>+AVERAGE(I121:J121)</f>
        <v/>
      </c>
    </row>
    <row r="124" ht="12.75" customHeight="1" s="148">
      <c r="B124" s="213" t="inlineStr">
        <is>
          <t>Interest Rate</t>
        </is>
      </c>
      <c r="F124" s="244" t="n">
        <v>0.07000000000000001</v>
      </c>
      <c r="G124" s="244">
        <f>+F124</f>
        <v/>
      </c>
      <c r="H124" s="244">
        <f>+G124</f>
        <v/>
      </c>
      <c r="I124" s="244">
        <f>+H124</f>
        <v/>
      </c>
      <c r="J124" s="244">
        <f>+I124</f>
        <v/>
      </c>
    </row>
    <row r="125" ht="12.75" customHeight="1" s="148">
      <c r="B125" s="213" t="inlineStr">
        <is>
          <t>Int Expense</t>
        </is>
      </c>
      <c r="E125" s="227" t="n"/>
      <c r="F125" s="227">
        <f>+-F123*F124</f>
        <v/>
      </c>
      <c r="G125" s="227">
        <f>+-G123*G124</f>
        <v/>
      </c>
      <c r="H125" s="227">
        <f>+-H123*H124</f>
        <v/>
      </c>
      <c r="I125" s="227">
        <f>+-I123*I124</f>
        <v/>
      </c>
      <c r="J125" s="227">
        <f>+-J123*J124</f>
        <v/>
      </c>
    </row>
    <row r="126" ht="12.75" customHeight="1" s="148">
      <c r="B126" s="213" t="inlineStr">
        <is>
          <t>Mand. Amort</t>
        </is>
      </c>
      <c r="F126" s="244" t="n">
        <v>0.01</v>
      </c>
      <c r="G126" s="244">
        <f>+F126</f>
        <v/>
      </c>
      <c r="H126" s="244">
        <f>+G126</f>
        <v/>
      </c>
      <c r="I126" s="244">
        <f>+H126</f>
        <v/>
      </c>
      <c r="J126" s="244">
        <f>+I126</f>
        <v/>
      </c>
    </row>
    <row r="128" ht="12.75" customHeight="1" s="148">
      <c r="B128" s="245" t="inlineStr">
        <is>
          <t>Mezz Loan</t>
        </is>
      </c>
    </row>
    <row r="129" ht="12.75" customHeight="1" s="148">
      <c r="B129" s="213" t="inlineStr">
        <is>
          <t>Beg</t>
        </is>
      </c>
      <c r="E129" s="227" t="n"/>
      <c r="F129" s="227">
        <f>+E132</f>
        <v/>
      </c>
      <c r="G129" s="227">
        <f>+F132</f>
        <v/>
      </c>
      <c r="H129" s="227">
        <f>+G132</f>
        <v/>
      </c>
      <c r="I129" s="227">
        <f>+H132</f>
        <v/>
      </c>
      <c r="J129" s="227">
        <f>+I132</f>
        <v/>
      </c>
    </row>
    <row r="130" ht="12.75" customHeight="1" s="148">
      <c r="B130" s="213" t="inlineStr">
        <is>
          <t>Accretion</t>
        </is>
      </c>
      <c r="E130" s="227" t="n"/>
      <c r="F130" s="227">
        <f>+-F139</f>
        <v/>
      </c>
      <c r="G130" s="227">
        <f>+-G139</f>
        <v/>
      </c>
      <c r="H130" s="227">
        <f>+-H139</f>
        <v/>
      </c>
      <c r="I130" s="227">
        <f>+-I139</f>
        <v/>
      </c>
      <c r="J130" s="227">
        <f>+-J139</f>
        <v/>
      </c>
    </row>
    <row r="131" ht="12.75" customHeight="1" s="148">
      <c r="B131" s="213" t="inlineStr">
        <is>
          <t>Paydown</t>
        </is>
      </c>
      <c r="E131" s="227" t="n"/>
      <c r="F131" s="227">
        <f>+IF(F103&gt;0,-MIN(SUM(F129:F130),F103),0)</f>
        <v/>
      </c>
      <c r="G131" s="227">
        <f>+IF(G103&gt;0,-MIN(SUM(G129:G130),G103),0)</f>
        <v/>
      </c>
      <c r="H131" s="227">
        <f>+IF(H103&gt;0,-MIN(SUM(H129:H130),H103),0)</f>
        <v/>
      </c>
      <c r="I131" s="227">
        <f>+IF(I103&gt;0,-MIN(SUM(I129:I130),I103),0)</f>
        <v/>
      </c>
      <c r="J131" s="227">
        <f>+IF(J103&gt;0,-MIN(SUM(J129:J130),J103),0)</f>
        <v/>
      </c>
    </row>
    <row r="132" ht="12.75" customHeight="1" s="148">
      <c r="B132" s="233" t="inlineStr">
        <is>
          <t>End</t>
        </is>
      </c>
      <c r="C132" s="233" t="n"/>
      <c r="D132" s="233" t="n"/>
      <c r="E132" s="252">
        <f>+E12</f>
        <v/>
      </c>
      <c r="F132" s="234">
        <f>SUM(F129:F131)</f>
        <v/>
      </c>
      <c r="G132" s="234">
        <f>SUM(G129:G131)</f>
        <v/>
      </c>
      <c r="H132" s="234">
        <f>SUM(H129:H131)</f>
        <v/>
      </c>
      <c r="I132" s="234">
        <f>SUM(I129:I131)</f>
        <v/>
      </c>
      <c r="J132" s="234">
        <f>SUM(J129:J131)</f>
        <v/>
      </c>
    </row>
    <row r="133" ht="12.75" customHeight="1" s="148">
      <c r="E133" s="227" t="n"/>
      <c r="F133" s="227" t="n"/>
      <c r="G133" s="227" t="n"/>
      <c r="H133" s="227" t="n"/>
      <c r="I133" s="227" t="n"/>
      <c r="J133" s="227" t="n"/>
    </row>
    <row r="134" ht="12.75" customHeight="1" s="148">
      <c r="B134" s="213" t="inlineStr">
        <is>
          <t>Avg</t>
        </is>
      </c>
      <c r="E134" s="227" t="n"/>
      <c r="F134" s="227">
        <f>+AVERAGE(E132:F132)</f>
        <v/>
      </c>
      <c r="G134" s="227">
        <f>+AVERAGE(F132:G132)</f>
        <v/>
      </c>
      <c r="H134" s="227">
        <f>+AVERAGE(G132:H132)</f>
        <v/>
      </c>
      <c r="I134" s="227">
        <f>+AVERAGE(H132:I132)</f>
        <v/>
      </c>
      <c r="J134" s="227">
        <f>+AVERAGE(I132:J132)</f>
        <v/>
      </c>
    </row>
    <row r="135" ht="12.75" customHeight="1" s="148">
      <c r="B135" s="213" t="inlineStr">
        <is>
          <t>Interest Rate</t>
        </is>
      </c>
      <c r="F135" s="244" t="n">
        <v>0.03</v>
      </c>
      <c r="G135" s="244">
        <f>+F135</f>
        <v/>
      </c>
      <c r="H135" s="244">
        <f>+G135</f>
        <v/>
      </c>
      <c r="I135" s="244">
        <f>+H135</f>
        <v/>
      </c>
      <c r="J135" s="244">
        <f>+I135</f>
        <v/>
      </c>
    </row>
    <row r="136" ht="12.75" customHeight="1" s="148">
      <c r="B136" s="213" t="inlineStr">
        <is>
          <t>Int Expense</t>
        </is>
      </c>
      <c r="E136" s="227" t="n"/>
      <c r="F136" s="227">
        <f>+-F134*F135</f>
        <v/>
      </c>
      <c r="G136" s="227">
        <f>+-G134*G135</f>
        <v/>
      </c>
      <c r="H136" s="227">
        <f>+-H134*H135</f>
        <v/>
      </c>
      <c r="I136" s="227">
        <f>+-I134*I135</f>
        <v/>
      </c>
      <c r="J136" s="227">
        <f>+-J134*J135</f>
        <v/>
      </c>
    </row>
    <row r="138" ht="12.75" customHeight="1" s="148">
      <c r="B138" s="213" t="inlineStr">
        <is>
          <t>PIK Rate</t>
        </is>
      </c>
      <c r="F138" s="244" t="n">
        <v>0.09</v>
      </c>
      <c r="G138" s="244">
        <f>+F138</f>
        <v/>
      </c>
      <c r="H138" s="244">
        <f>+G138</f>
        <v/>
      </c>
      <c r="I138" s="244">
        <f>+H138</f>
        <v/>
      </c>
      <c r="J138" s="244">
        <f>+I138</f>
        <v/>
      </c>
    </row>
    <row r="139" ht="12.75" customHeight="1" s="148">
      <c r="B139" s="213" t="inlineStr">
        <is>
          <t>PIK Expense</t>
        </is>
      </c>
      <c r="E139" s="227" t="n"/>
      <c r="F139" s="227">
        <f>+E132*-F138</f>
        <v/>
      </c>
      <c r="G139" s="227">
        <f>+F132*-G138</f>
        <v/>
      </c>
      <c r="H139" s="227">
        <f>+G132*-H138</f>
        <v/>
      </c>
      <c r="I139" s="227">
        <f>+H132*-I138</f>
        <v/>
      </c>
      <c r="J139" s="227">
        <f>+I132*-J138</f>
        <v/>
      </c>
    </row>
    <row r="140" ht="12.75" customHeight="1" s="148">
      <c r="E140" s="227" t="n"/>
      <c r="F140" s="227" t="n"/>
      <c r="G140" s="227" t="n"/>
      <c r="H140" s="227" t="n"/>
      <c r="I140" s="227" t="n"/>
      <c r="J140" s="227" t="n"/>
    </row>
    <row r="141" ht="12.75" customHeight="1" s="148">
      <c r="B141" s="245" t="inlineStr">
        <is>
          <t>Cash</t>
        </is>
      </c>
      <c r="E141" s="227" t="n"/>
      <c r="F141" s="227" t="n"/>
      <c r="G141" s="227" t="n"/>
      <c r="H141" s="227" t="n"/>
      <c r="I141" s="227" t="n"/>
      <c r="J141" s="227" t="n"/>
    </row>
    <row r="142" ht="12.75" customHeight="1" s="148">
      <c r="B142" s="213" t="inlineStr">
        <is>
          <t>Beg</t>
        </is>
      </c>
      <c r="E142" s="227" t="n"/>
      <c r="F142" s="227">
        <f>+E144</f>
        <v/>
      </c>
      <c r="G142" s="227">
        <f>+F144</f>
        <v/>
      </c>
      <c r="H142" s="227">
        <f>+G144</f>
        <v/>
      </c>
      <c r="I142" s="227">
        <f>+H144</f>
        <v/>
      </c>
      <c r="J142" s="227">
        <f>+I144</f>
        <v/>
      </c>
    </row>
    <row r="143" ht="12.75" customHeight="1" s="148">
      <c r="B143" s="213" t="inlineStr">
        <is>
          <t>Change</t>
        </is>
      </c>
      <c r="E143" s="227" t="n"/>
      <c r="F143" s="227">
        <f>+F92</f>
        <v/>
      </c>
      <c r="G143" s="227">
        <f>+G92</f>
        <v/>
      </c>
      <c r="H143" s="227">
        <f>+H92</f>
        <v/>
      </c>
      <c r="I143" s="227">
        <f>+I92</f>
        <v/>
      </c>
      <c r="J143" s="227">
        <f>+J92</f>
        <v/>
      </c>
    </row>
    <row r="144" ht="12.75" customHeight="1" s="148">
      <c r="B144" s="233" t="inlineStr">
        <is>
          <t>End</t>
        </is>
      </c>
      <c r="C144" s="233" t="n"/>
      <c r="D144" s="233" t="n"/>
      <c r="E144" s="252" t="n">
        <v>0</v>
      </c>
      <c r="F144" s="234">
        <f>SUM(F142:F143)</f>
        <v/>
      </c>
      <c r="G144" s="234">
        <f>SUM(G142:G143)</f>
        <v/>
      </c>
      <c r="H144" s="234">
        <f>SUM(H142:H143)</f>
        <v/>
      </c>
      <c r="I144" s="234">
        <f>SUM(I142:I143)</f>
        <v/>
      </c>
      <c r="J144" s="234">
        <f>SUM(J142:J143)</f>
        <v/>
      </c>
    </row>
    <row r="145" ht="12.75" customHeight="1" s="148">
      <c r="E145" s="227" t="n"/>
      <c r="F145" s="227" t="n"/>
      <c r="G145" s="227" t="n"/>
      <c r="H145" s="227" t="n"/>
      <c r="I145" s="227" t="n"/>
      <c r="J145" s="227" t="n"/>
    </row>
    <row r="146" ht="12.75" customHeight="1" s="148">
      <c r="B146" s="213" t="inlineStr">
        <is>
          <t>Avg</t>
        </is>
      </c>
      <c r="E146" s="227" t="n"/>
      <c r="F146" s="227">
        <f>+AVERAGE(E144:F144)</f>
        <v/>
      </c>
      <c r="G146" s="227">
        <f>+AVERAGE(F144:G144)</f>
        <v/>
      </c>
      <c r="H146" s="227">
        <f>+AVERAGE(G144:H144)</f>
        <v/>
      </c>
      <c r="I146" s="227">
        <f>+AVERAGE(H144:I144)</f>
        <v/>
      </c>
      <c r="J146" s="227">
        <f>+AVERAGE(I144:J144)</f>
        <v/>
      </c>
    </row>
    <row r="147" ht="12.75" customHeight="1" s="148">
      <c r="B147" s="213" t="inlineStr">
        <is>
          <t>Interest Rate</t>
        </is>
      </c>
      <c r="F147" s="244" t="n">
        <v>0.01</v>
      </c>
      <c r="G147" s="244">
        <f>+F147</f>
        <v/>
      </c>
      <c r="H147" s="244">
        <f>+G147</f>
        <v/>
      </c>
      <c r="I147" s="244">
        <f>+H147</f>
        <v/>
      </c>
      <c r="J147" s="244">
        <f>+I147</f>
        <v/>
      </c>
    </row>
    <row r="148" ht="12.75" customHeight="1" s="148">
      <c r="B148" s="213" t="inlineStr">
        <is>
          <t>Int Income</t>
        </is>
      </c>
      <c r="E148" s="227" t="n"/>
      <c r="F148" s="227">
        <f>+F146*F147</f>
        <v/>
      </c>
      <c r="G148" s="227">
        <f>+G146*G147</f>
        <v/>
      </c>
      <c r="H148" s="227">
        <f>+H146*H147</f>
        <v/>
      </c>
      <c r="I148" s="227">
        <f>+I146*I147</f>
        <v/>
      </c>
      <c r="J148" s="227">
        <f>+J146*J147</f>
        <v/>
      </c>
    </row>
    <row r="149" ht="12.75" customHeight="1" s="148">
      <c r="E149" s="227" t="n"/>
      <c r="F149" s="227" t="n"/>
      <c r="G149" s="227" t="n"/>
      <c r="H149" s="227" t="n"/>
      <c r="I149" s="227" t="n"/>
      <c r="J149" s="227" t="n"/>
    </row>
    <row r="150" ht="12.75" customHeight="1" s="148">
      <c r="B150" s="213" t="inlineStr">
        <is>
          <t>Total Interest Expense</t>
        </is>
      </c>
      <c r="E150" s="227" t="n"/>
      <c r="F150" s="227">
        <f>+F115+F125+F136+F139</f>
        <v/>
      </c>
      <c r="G150" s="227">
        <f>+G115+G125+G136+G139</f>
        <v/>
      </c>
      <c r="H150" s="227">
        <f>+H115+H125+H136+H139</f>
        <v/>
      </c>
      <c r="I150" s="227">
        <f>+I115+I125+I136+I139</f>
        <v/>
      </c>
      <c r="J150" s="227">
        <f>+J115+J125+J136+J139</f>
        <v/>
      </c>
    </row>
    <row r="151" ht="12.75" customHeight="1" s="148">
      <c r="F151" s="254" t="n"/>
      <c r="G151" s="254" t="n"/>
      <c r="H151" s="254" t="n"/>
      <c r="I151" s="254" t="n"/>
      <c r="J151" s="254" t="n"/>
    </row>
    <row r="152" ht="12.75" customHeight="1" s="148">
      <c r="A152" s="213" t="inlineStr">
        <is>
          <t>x</t>
        </is>
      </c>
      <c r="B152" s="237" t="inlineStr">
        <is>
          <t>Returns</t>
        </is>
      </c>
      <c r="C152" s="237" t="n"/>
      <c r="D152" s="237" t="n"/>
      <c r="E152" s="237" t="n">
        <v>2013</v>
      </c>
      <c r="F152" s="237">
        <f>E152+1</f>
        <v/>
      </c>
      <c r="G152" s="237">
        <f>F152+1</f>
        <v/>
      </c>
      <c r="H152" s="237">
        <f>G152+1</f>
        <v/>
      </c>
      <c r="I152" s="237">
        <f>H152+1</f>
        <v/>
      </c>
      <c r="J152" s="237">
        <f>I152+1</f>
        <v/>
      </c>
    </row>
    <row r="153" ht="12.75" customHeight="1" s="148">
      <c r="B153" s="213" t="inlineStr">
        <is>
          <t>EBITDA</t>
        </is>
      </c>
      <c r="E153" s="227" t="n"/>
      <c r="F153" s="227">
        <f>+F31</f>
        <v/>
      </c>
      <c r="G153" s="227">
        <f>+G31</f>
        <v/>
      </c>
      <c r="H153" s="227">
        <f>+H31</f>
        <v/>
      </c>
      <c r="I153" s="227">
        <f>+I31</f>
        <v/>
      </c>
      <c r="J153" s="227">
        <f>+J31</f>
        <v/>
      </c>
    </row>
    <row r="154" ht="12.75" customHeight="1" s="148">
      <c r="B154" s="213" t="inlineStr">
        <is>
          <t>Exit Multiple</t>
        </is>
      </c>
      <c r="F154" s="255">
        <f>+$E$4</f>
        <v/>
      </c>
      <c r="G154" s="255">
        <f>+$E$4</f>
        <v/>
      </c>
      <c r="H154" s="255">
        <f>+$E$4</f>
        <v/>
      </c>
      <c r="I154" s="255">
        <f>+$E$4</f>
        <v/>
      </c>
      <c r="J154" s="255">
        <f>+$E$4</f>
        <v/>
      </c>
    </row>
    <row r="155" ht="12.75" customHeight="1" s="148">
      <c r="B155" s="233" t="inlineStr">
        <is>
          <t>TEV</t>
        </is>
      </c>
      <c r="C155" s="233" t="n"/>
      <c r="D155" s="233" t="n"/>
      <c r="E155" s="234" t="n"/>
      <c r="F155" s="234">
        <f>+F153*F154</f>
        <v/>
      </c>
      <c r="G155" s="234">
        <f>+G153*G154</f>
        <v/>
      </c>
      <c r="H155" s="234">
        <f>+H153*H154</f>
        <v/>
      </c>
      <c r="I155" s="234">
        <f>+I153*I154</f>
        <v/>
      </c>
      <c r="J155" s="234">
        <f>+J153*J154</f>
        <v/>
      </c>
    </row>
    <row r="156" ht="12.75" customHeight="1" s="148">
      <c r="B156" s="213" t="inlineStr">
        <is>
          <t>(-) Net Debt</t>
        </is>
      </c>
      <c r="E156" s="227" t="n"/>
      <c r="F156" s="227">
        <f>+-F67+F62</f>
        <v/>
      </c>
      <c r="G156" s="227">
        <f>+-G67+G62</f>
        <v/>
      </c>
      <c r="H156" s="227">
        <f>+-H67+H62</f>
        <v/>
      </c>
      <c r="I156" s="227">
        <f>+-I67+I62</f>
        <v/>
      </c>
      <c r="J156" s="227">
        <f>+-J67+J62</f>
        <v/>
      </c>
    </row>
    <row r="157" ht="12.75" customHeight="1" s="148">
      <c r="B157" s="233" t="inlineStr">
        <is>
          <t>Total Equity Value</t>
        </is>
      </c>
      <c r="C157" s="233" t="n"/>
      <c r="D157" s="233" t="n"/>
      <c r="E157" s="234" t="n"/>
      <c r="F157" s="234">
        <f>+SUM(F155:F156)</f>
        <v/>
      </c>
      <c r="G157" s="234">
        <f>+SUM(G155:G156)</f>
        <v/>
      </c>
      <c r="H157" s="234">
        <f>+SUM(H155:H156)</f>
        <v/>
      </c>
      <c r="I157" s="234">
        <f>+SUM(I155:I156)</f>
        <v/>
      </c>
      <c r="J157" s="234">
        <f>+SUM(J155:J156)</f>
        <v/>
      </c>
    </row>
    <row r="158" ht="12.75" customHeight="1" s="148">
      <c r="B158" s="213" t="inlineStr">
        <is>
          <t>(-) Roll</t>
        </is>
      </c>
      <c r="E158" s="227" t="n"/>
      <c r="F158" s="227">
        <f>+-F157*$K$158</f>
        <v/>
      </c>
      <c r="G158" s="227">
        <f>+-G157*$K$158</f>
        <v/>
      </c>
      <c r="H158" s="227">
        <f>+-H157*$K$158</f>
        <v/>
      </c>
      <c r="I158" s="227">
        <f>+-I157*$K$158</f>
        <v/>
      </c>
      <c r="J158" s="227">
        <f>+-J157*$K$158</f>
        <v/>
      </c>
      <c r="K158" s="256">
        <f>E13/SUM(E13:E14)</f>
        <v/>
      </c>
    </row>
    <row r="159" ht="12.75" customHeight="1" s="148">
      <c r="B159" s="233" t="inlineStr">
        <is>
          <t>Sponsor Equity Value</t>
        </is>
      </c>
      <c r="C159" s="233" t="n"/>
      <c r="D159" s="233" t="n"/>
      <c r="E159" s="234" t="n"/>
      <c r="F159" s="234">
        <f>SUM(F157:F158)</f>
        <v/>
      </c>
      <c r="G159" s="234">
        <f>SUM(G157:G158)</f>
        <v/>
      </c>
      <c r="H159" s="234">
        <f>SUM(H157:H158)</f>
        <v/>
      </c>
      <c r="I159" s="234">
        <f>SUM(I157:I158)</f>
        <v/>
      </c>
      <c r="J159" s="234">
        <f>SUM(J157:J158)</f>
        <v/>
      </c>
    </row>
    <row r="160" ht="12.75" customHeight="1" s="148">
      <c r="E160" s="227" t="n"/>
      <c r="F160" s="227" t="n"/>
      <c r="G160" s="227" t="n"/>
      <c r="H160" s="227" t="n"/>
      <c r="I160" s="227" t="n"/>
      <c r="J160" s="227" t="n"/>
    </row>
    <row r="161" ht="12.75" customHeight="1" s="148">
      <c r="B161" s="258" t="n">
        <v>41639</v>
      </c>
      <c r="E161" s="227" t="n"/>
      <c r="F161" s="227">
        <f>+-$E$14</f>
        <v/>
      </c>
      <c r="G161" s="227">
        <f>+-$E$14</f>
        <v/>
      </c>
      <c r="H161" s="227">
        <f>+-$E$14</f>
        <v/>
      </c>
      <c r="I161" s="227">
        <f>+-$E$14</f>
        <v/>
      </c>
      <c r="J161" s="227">
        <f>+-$E$14</f>
        <v/>
      </c>
    </row>
    <row r="162" ht="12.75" customHeight="1" s="148">
      <c r="B162" s="258">
        <f>DATE(YEAR(B161)+1,MONTH(B161),DAY(B161))</f>
        <v/>
      </c>
      <c r="E162" s="227" t="n"/>
      <c r="F162" s="227">
        <f>+F159</f>
        <v/>
      </c>
      <c r="G162" s="227" t="n"/>
      <c r="H162" s="227" t="n"/>
      <c r="I162" s="227" t="n"/>
      <c r="J162" s="227" t="n"/>
    </row>
    <row r="163" ht="12.75" customHeight="1" s="148">
      <c r="B163" s="258">
        <f>DATE(YEAR(B162)+1,MONTH(B162),DAY(B162))</f>
        <v/>
      </c>
      <c r="E163" s="227" t="n"/>
      <c r="F163" s="227" t="n"/>
      <c r="G163" s="227">
        <f>+G159</f>
        <v/>
      </c>
      <c r="H163" s="227" t="n"/>
      <c r="I163" s="227" t="n"/>
      <c r="J163" s="227" t="n"/>
    </row>
    <row r="164" ht="12.75" customHeight="1" s="148">
      <c r="B164" s="258">
        <f>DATE(YEAR(B163)+1,MONTH(B163),DAY(B163))</f>
        <v/>
      </c>
      <c r="E164" s="227" t="n"/>
      <c r="F164" s="227" t="n"/>
      <c r="G164" s="227" t="n"/>
      <c r="H164" s="227">
        <f>+H159</f>
        <v/>
      </c>
      <c r="I164" s="227" t="n"/>
      <c r="J164" s="227" t="n"/>
    </row>
    <row r="165" ht="12.75" customHeight="1" s="148">
      <c r="B165" s="258">
        <f>DATE(YEAR(B164)+1,MONTH(B164),DAY(B164))</f>
        <v/>
      </c>
      <c r="E165" s="227" t="n"/>
      <c r="F165" s="227" t="n"/>
      <c r="G165" s="227" t="n"/>
      <c r="H165" s="227" t="n"/>
      <c r="I165" s="227">
        <f>+I159</f>
        <v/>
      </c>
      <c r="J165" s="227" t="n"/>
    </row>
    <row r="166" ht="12.75" customHeight="1" s="148">
      <c r="B166" s="258">
        <f>DATE(YEAR(B165)+1,MONTH(B165),DAY(B165))</f>
        <v/>
      </c>
      <c r="E166" s="227" t="n"/>
      <c r="F166" s="227" t="n"/>
      <c r="G166" s="227" t="n"/>
      <c r="H166" s="227" t="n"/>
      <c r="I166" s="227" t="n"/>
      <c r="J166" s="227">
        <f>+J159</f>
        <v/>
      </c>
    </row>
    <row r="167" ht="12.75" customHeight="1" s="148">
      <c r="B167" s="233" t="inlineStr">
        <is>
          <t>IRR</t>
        </is>
      </c>
      <c r="C167" s="233" t="n"/>
      <c r="D167" s="233" t="n"/>
      <c r="E167" s="233" t="n"/>
      <c r="F167" s="259">
        <f>XIRR(F161:F166,$B$161:$B$166)</f>
        <v/>
      </c>
      <c r="G167" s="259">
        <f>XIRR(G161:G166,$B$161:$B$166)</f>
        <v/>
      </c>
      <c r="H167" s="259">
        <f>XIRR(H161:H166,$B$161:$B$166)</f>
        <v/>
      </c>
      <c r="I167" s="259">
        <f>XIRR(I161:I166,$B$161:$B$166)</f>
        <v/>
      </c>
      <c r="J167" s="259">
        <f>XIRR(J161:J166,$B$161:$B$166)</f>
        <v/>
      </c>
    </row>
    <row r="168" ht="12.75" customHeight="1" s="148">
      <c r="B168" s="213" t="inlineStr">
        <is>
          <t>Money Multiple</t>
        </is>
      </c>
      <c r="F168" s="255">
        <f>+F162/F161*-1</f>
        <v/>
      </c>
      <c r="G168" s="255">
        <f>+G163/G161*-1</f>
        <v/>
      </c>
      <c r="H168" s="255">
        <f>+H164/H161*-1</f>
        <v/>
      </c>
      <c r="I168" s="255">
        <f>+I165/I161*-1</f>
        <v/>
      </c>
      <c r="J168" s="255">
        <f>+J166/J161*-1</f>
        <v/>
      </c>
    </row>
    <row r="169" ht="12.75" customHeight="1" s="148">
      <c r="F169" s="254" t="n"/>
      <c r="G169" s="254" t="n"/>
      <c r="H169" s="254" t="n"/>
      <c r="I169" s="254" t="n"/>
      <c r="J169" s="254" t="n"/>
    </row>
    <row r="170" ht="12.75" customHeight="1" s="148">
      <c r="A170" s="213" t="inlineStr">
        <is>
          <t>q</t>
        </is>
      </c>
      <c r="B170" s="237" t="inlineStr">
        <is>
          <t>Sensitivity</t>
        </is>
      </c>
      <c r="C170" s="237" t="n"/>
      <c r="D170" s="237" t="n"/>
      <c r="E170" s="237" t="n"/>
      <c r="F170" s="237" t="n"/>
      <c r="G170" s="237" t="n"/>
      <c r="H170" s="237" t="n"/>
      <c r="I170" s="237" t="n"/>
      <c r="J170" s="237" t="n"/>
    </row>
    <row r="171" ht="12.75" customHeight="1" s="148">
      <c r="F171" s="254" t="n"/>
      <c r="G171" s="254" t="n"/>
      <c r="H171" s="254" t="n"/>
      <c r="I171" s="254" t="n"/>
      <c r="J171" s="254" t="n"/>
    </row>
    <row r="172" ht="12.75" customHeight="1" s="148">
      <c r="D172" s="260" t="inlineStr">
        <is>
          <t>Exit Multiple</t>
        </is>
      </c>
      <c r="J172" s="254" t="n"/>
    </row>
    <row r="173" ht="12.75" customHeight="1" s="148">
      <c r="C173" s="261">
        <f>+J167</f>
        <v/>
      </c>
      <c r="D173" s="262" t="n">
        <v>7</v>
      </c>
      <c r="E173" s="262">
        <f>D173+1</f>
        <v/>
      </c>
      <c r="F173" s="262">
        <f>E173+1</f>
        <v/>
      </c>
      <c r="G173" s="262">
        <f>F173+1</f>
        <v/>
      </c>
      <c r="H173" s="262">
        <f>G173+1</f>
        <v/>
      </c>
      <c r="J173" s="254" t="n"/>
    </row>
    <row r="174" ht="12.75" customHeight="1" s="148">
      <c r="C174" s="248" t="n">
        <v>7</v>
      </c>
      <c r="D174" s="263">
        <f>TABLE($C$173,$E$3,$C174,$J$154,D$173)</f>
        <v/>
      </c>
      <c r="E174" s="259">
        <f>TABLE($C$173,$E$3,$C174,$J$154,E$173)</f>
        <v/>
      </c>
      <c r="F174" s="259">
        <f>TABLE($C$173,$E$3,$C174,$J$154,F$173)</f>
        <v/>
      </c>
      <c r="G174" s="259">
        <f>TABLE($C$173,$E$3,$C174,$J$154,G$173)</f>
        <v/>
      </c>
      <c r="H174" s="264">
        <f>TABLE($C$173,$E$3,$C174,$J$154,H$173)</f>
        <v/>
      </c>
    </row>
    <row r="175" ht="12.75" customHeight="1" s="148">
      <c r="B175" s="213" t="inlineStr">
        <is>
          <t>Entry</t>
        </is>
      </c>
      <c r="C175" s="248" t="n">
        <v>8</v>
      </c>
      <c r="D175" s="265">
        <f>TABLE($C$173,$E$3,$C175,$J$154,D$173)</f>
        <v/>
      </c>
      <c r="E175" s="266">
        <f>TABLE($C$173,$E$3,$C175,$J$154,E$173)</f>
        <v/>
      </c>
      <c r="F175" s="266">
        <f>TABLE($C$173,$E$3,$C175,$J$154,F$173)</f>
        <v/>
      </c>
      <c r="G175" s="266">
        <f>TABLE($C$173,$E$3,$C175,$J$154,G$173)</f>
        <v/>
      </c>
      <c r="H175" s="267">
        <f>TABLE($C$173,$E$3,$C175,$J$154,H$173)</f>
        <v/>
      </c>
    </row>
    <row r="176" ht="12.75" customHeight="1" s="148">
      <c r="B176" s="213" t="inlineStr">
        <is>
          <t>Multiple</t>
        </is>
      </c>
      <c r="C176" s="248" t="n">
        <v>9</v>
      </c>
      <c r="D176" s="265">
        <f>TABLE($C$173,$E$3,$C176,$J$154,D$173)</f>
        <v/>
      </c>
      <c r="E176" s="266">
        <f>TABLE($C$173,$E$3,$C176,$J$154,E$173)</f>
        <v/>
      </c>
      <c r="F176" s="256">
        <f>TABLE($C$173,$E$3,$C176,$J$154,F$173)</f>
        <v/>
      </c>
      <c r="G176" s="266">
        <f>TABLE($C$173,$E$3,$C176,$J$154,G$173)</f>
        <v/>
      </c>
      <c r="H176" s="267">
        <f>TABLE($C$173,$E$3,$C176,$J$154,H$173)</f>
        <v/>
      </c>
    </row>
    <row r="177" ht="12.75" customHeight="1" s="148">
      <c r="C177" s="248" t="n">
        <v>10</v>
      </c>
      <c r="D177" s="265">
        <f>TABLE($C$173,$E$3,$C177,$J$154,D$173)</f>
        <v/>
      </c>
      <c r="E177" s="266">
        <f>TABLE($C$173,$E$3,$C177,$J$154,E$173)</f>
        <v/>
      </c>
      <c r="F177" s="266">
        <f>TABLE($C$173,$E$3,$C177,$J$154,F$173)</f>
        <v/>
      </c>
      <c r="G177" s="266">
        <f>TABLE($C$173,$E$3,$C177,$J$154,G$173)</f>
        <v/>
      </c>
      <c r="H177" s="267">
        <f>TABLE($C$173,$E$3,$C177,$J$154,H$173)</f>
        <v/>
      </c>
    </row>
    <row r="178" ht="12.75" customHeight="1" s="148">
      <c r="C178" s="248" t="n">
        <v>11</v>
      </c>
      <c r="D178" s="268">
        <f>TABLE($C$173,$E$3,$C178,$J$154,D$173)</f>
        <v/>
      </c>
      <c r="E178" s="269">
        <f>TABLE($C$173,$E$3,$C178,$J$154,E$173)</f>
        <v/>
      </c>
      <c r="F178" s="269">
        <f>TABLE($C$173,$E$3,$C178,$J$154,F$173)</f>
        <v/>
      </c>
      <c r="G178" s="269">
        <f>TABLE($C$173,$E$3,$C178,$J$154,G$173)</f>
        <v/>
      </c>
      <c r="H178" s="270">
        <f>TABLE($C$173,$E$3,$C178,$J$154,H$173)</f>
        <v/>
      </c>
    </row>
    <row r="180" ht="12.75" customHeight="1" s="148">
      <c r="D180" s="260" t="inlineStr">
        <is>
          <t>Exit Multiple</t>
        </is>
      </c>
    </row>
    <row r="181" ht="12.75" customHeight="1" s="148">
      <c r="C181" s="261">
        <f>+J168</f>
        <v/>
      </c>
      <c r="D181" s="271" t="n">
        <v>7</v>
      </c>
      <c r="E181" s="271">
        <f>D181+1</f>
        <v/>
      </c>
      <c r="F181" s="271">
        <f>E181+1</f>
        <v/>
      </c>
      <c r="G181" s="271">
        <f>F181+1</f>
        <v/>
      </c>
      <c r="H181" s="271">
        <f>G181+1</f>
        <v/>
      </c>
    </row>
    <row r="182" ht="12.75" customHeight="1" s="148">
      <c r="C182" s="248" t="n">
        <v>7</v>
      </c>
      <c r="D182" s="317">
        <f>TABLE($C$181,$E$3,$C182,$J$154,D$181)</f>
        <v/>
      </c>
      <c r="E182" s="318">
        <f>TABLE($C$181,$E$3,$C182,$J$154,E$181)</f>
        <v/>
      </c>
      <c r="F182" s="318">
        <f>TABLE($C$181,$E$3,$C182,$J$154,F$181)</f>
        <v/>
      </c>
      <c r="G182" s="318">
        <f>TABLE($C$181,$E$3,$C182,$J$154,G$181)</f>
        <v/>
      </c>
      <c r="H182" s="319">
        <f>TABLE($C$181,$E$3,$C182,$J$154,H$181)</f>
        <v/>
      </c>
    </row>
    <row r="183" ht="12.75" customHeight="1" s="148">
      <c r="B183" s="213" t="inlineStr">
        <is>
          <t>Entry</t>
        </is>
      </c>
      <c r="C183" s="248" t="n">
        <v>8</v>
      </c>
      <c r="D183" s="320">
        <f>TABLE($C$181,$E$3,$C183,$J$154,D$181)</f>
        <v/>
      </c>
      <c r="E183" s="250">
        <f>TABLE($C$181,$E$3,$C183,$J$154,E$181)</f>
        <v/>
      </c>
      <c r="F183" s="250">
        <f>TABLE($C$181,$E$3,$C183,$J$154,F$181)</f>
        <v/>
      </c>
      <c r="G183" s="250">
        <f>TABLE($C$181,$E$3,$C183,$J$154,G$181)</f>
        <v/>
      </c>
      <c r="H183" s="321">
        <f>TABLE($C$181,$E$3,$C183,$J$154,H$181)</f>
        <v/>
      </c>
    </row>
    <row r="184" ht="12.75" customHeight="1" s="148">
      <c r="B184" s="213" t="inlineStr">
        <is>
          <t>Multiple</t>
        </is>
      </c>
      <c r="C184" s="248" t="n">
        <v>9</v>
      </c>
      <c r="D184" s="320">
        <f>TABLE($C$181,$E$3,$C184,$J$154,D$181)</f>
        <v/>
      </c>
      <c r="E184" s="250">
        <f>TABLE($C$181,$E$3,$C184,$J$154,E$181)</f>
        <v/>
      </c>
      <c r="F184" s="322">
        <f>TABLE($C$181,$E$3,$C184,$J$154,F$181)</f>
        <v/>
      </c>
      <c r="G184" s="250">
        <f>TABLE($C$181,$E$3,$C184,$J$154,G$181)</f>
        <v/>
      </c>
      <c r="H184" s="321">
        <f>TABLE($C$181,$E$3,$C184,$J$154,H$181)</f>
        <v/>
      </c>
    </row>
    <row r="185" ht="12.75" customHeight="1" s="148">
      <c r="C185" s="248" t="n">
        <v>10</v>
      </c>
      <c r="D185" s="320">
        <f>TABLE($C$181,$E$3,$C185,$J$154,D$181)</f>
        <v/>
      </c>
      <c r="E185" s="250">
        <f>TABLE($C$181,$E$3,$C185,$J$154,E$181)</f>
        <v/>
      </c>
      <c r="F185" s="250">
        <f>TABLE($C$181,$E$3,$C185,$J$154,F$181)</f>
        <v/>
      </c>
      <c r="G185" s="250">
        <f>TABLE($C$181,$E$3,$C185,$J$154,G$181)</f>
        <v/>
      </c>
      <c r="H185" s="321">
        <f>TABLE($C$181,$E$3,$C185,$J$154,H$181)</f>
        <v/>
      </c>
    </row>
    <row r="186" ht="12.75" customHeight="1" s="148">
      <c r="C186" s="248" t="n">
        <v>11</v>
      </c>
      <c r="D186" s="323">
        <f>TABLE($C$181,$E$3,$C186,$J$154,D$181)</f>
        <v/>
      </c>
      <c r="E186" s="324">
        <f>TABLE($C$181,$E$3,$C186,$J$154,E$181)</f>
        <v/>
      </c>
      <c r="F186" s="324">
        <f>TABLE($C$181,$E$3,$C186,$J$154,F$181)</f>
        <v/>
      </c>
      <c r="G186" s="324">
        <f>TABLE($C$181,$E$3,$C186,$J$154,G$181)</f>
        <v/>
      </c>
      <c r="H186" s="325">
        <f>TABLE($C$181,$E$3,$C186,$J$154,H$181)</f>
        <v/>
      </c>
    </row>
    <row r="188" ht="12.75" customHeight="1" s="148">
      <c r="A188" s="213" t="inlineStr">
        <is>
          <t>x</t>
        </is>
      </c>
      <c r="B188" s="237" t="inlineStr">
        <is>
          <t>Returns Creation</t>
        </is>
      </c>
      <c r="C188" s="237" t="n"/>
      <c r="D188" s="237" t="n"/>
      <c r="E188" s="237" t="n"/>
      <c r="F188" s="237" t="n"/>
      <c r="G188" s="237" t="n"/>
      <c r="H188" s="237" t="n"/>
      <c r="I188" s="237" t="n"/>
      <c r="J188" s="237" t="n"/>
    </row>
    <row r="189" ht="12.75" customHeight="1" s="148">
      <c r="E189" s="282" t="n">
        <v>2013</v>
      </c>
      <c r="F189" s="282" t="n">
        <v>2018</v>
      </c>
      <c r="G189" s="282" t="inlineStr">
        <is>
          <t>Change</t>
        </is>
      </c>
      <c r="H189" s="282" t="inlineStr">
        <is>
          <t>Multiple</t>
        </is>
      </c>
      <c r="I189" s="282" t="inlineStr">
        <is>
          <t>$</t>
        </is>
      </c>
      <c r="J189" s="282" t="inlineStr">
        <is>
          <t>%</t>
        </is>
      </c>
    </row>
    <row r="190" ht="12.75" customHeight="1" s="148">
      <c r="B190" s="213" t="inlineStr">
        <is>
          <t>Beg Equity Value</t>
        </is>
      </c>
      <c r="E190" s="227" t="n"/>
      <c r="F190" s="227" t="n"/>
      <c r="G190" s="227" t="n"/>
      <c r="H190" s="227" t="n"/>
      <c r="I190" s="227">
        <f>+E14</f>
        <v/>
      </c>
    </row>
    <row r="191" ht="12.75" customHeight="1" s="148">
      <c r="E191" s="227" t="n"/>
      <c r="F191" s="227" t="n"/>
      <c r="G191" s="227" t="n"/>
      <c r="H191" s="227" t="n"/>
      <c r="I191" s="227" t="n"/>
    </row>
    <row r="192" ht="12.75" customHeight="1" s="148">
      <c r="B192" s="245" t="inlineStr">
        <is>
          <t>Creation</t>
        </is>
      </c>
      <c r="E192" s="227" t="n"/>
      <c r="F192" s="227" t="n"/>
      <c r="G192" s="227" t="n"/>
      <c r="H192" s="227" t="n"/>
      <c r="I192" s="227" t="n"/>
    </row>
    <row r="193" ht="12.75" customHeight="1" s="148">
      <c r="B193" s="213" t="inlineStr">
        <is>
          <t>Cash Build</t>
        </is>
      </c>
      <c r="E193" s="227">
        <f>+E62</f>
        <v/>
      </c>
      <c r="F193" s="227">
        <f>J62</f>
        <v/>
      </c>
      <c r="G193" s="227">
        <f>+F193-E193</f>
        <v/>
      </c>
      <c r="H193" s="228" t="n">
        <v>1</v>
      </c>
      <c r="I193" s="227">
        <f>+G193*H193</f>
        <v/>
      </c>
      <c r="J193" s="266">
        <f>+I193/$I$202</f>
        <v/>
      </c>
    </row>
    <row r="194" ht="12.75" customHeight="1" s="148">
      <c r="B194" s="213" t="inlineStr">
        <is>
          <t>Debt Paydown</t>
        </is>
      </c>
      <c r="E194" s="227">
        <f>+E67</f>
        <v/>
      </c>
      <c r="F194" s="227">
        <f>+J67</f>
        <v/>
      </c>
      <c r="G194" s="227">
        <f>+E194-F194</f>
        <v/>
      </c>
      <c r="H194" s="228" t="n">
        <v>1</v>
      </c>
      <c r="I194" s="227">
        <f>+G194*H194</f>
        <v/>
      </c>
      <c r="J194" s="266">
        <f>+I194/$I$202</f>
        <v/>
      </c>
    </row>
    <row r="195" ht="12.75" customHeight="1" s="148">
      <c r="B195" s="213" t="inlineStr">
        <is>
          <t>EBITDA Growth</t>
        </is>
      </c>
      <c r="E195" s="227">
        <f>+E31</f>
        <v/>
      </c>
      <c r="F195" s="227">
        <f>J31</f>
        <v/>
      </c>
      <c r="G195" s="227">
        <f>+F195-E195</f>
        <v/>
      </c>
      <c r="H195" s="228" t="n">
        <v>9</v>
      </c>
      <c r="I195" s="227">
        <f>+G195*H195</f>
        <v/>
      </c>
      <c r="J195" s="266">
        <f>+I195/$I$202</f>
        <v/>
      </c>
    </row>
    <row r="196" ht="12.75" customHeight="1" s="148">
      <c r="B196" s="213" t="inlineStr">
        <is>
          <t>Multiple Expansion</t>
        </is>
      </c>
      <c r="E196" s="227">
        <f>+E3</f>
        <v/>
      </c>
      <c r="F196" s="227">
        <f>+E4</f>
        <v/>
      </c>
      <c r="G196" s="227">
        <f>+F196-E196</f>
        <v/>
      </c>
      <c r="H196" s="227">
        <f>+F195</f>
        <v/>
      </c>
      <c r="I196" s="227">
        <f>+G196*H196</f>
        <v/>
      </c>
      <c r="J196" s="266">
        <f>+I196/$I$202</f>
        <v/>
      </c>
    </row>
    <row r="197" ht="12.75" customHeight="1" s="148">
      <c r="B197" s="233" t="inlineStr">
        <is>
          <t>Created Value</t>
        </is>
      </c>
      <c r="C197" s="233" t="n"/>
      <c r="D197" s="233" t="n"/>
      <c r="E197" s="234" t="n"/>
      <c r="F197" s="234" t="n"/>
      <c r="G197" s="234" t="n"/>
      <c r="H197" s="234" t="n"/>
      <c r="I197" s="234">
        <f>SUM(I193:I196)</f>
        <v/>
      </c>
      <c r="J197" s="259">
        <f>SUM(J193:J196)</f>
        <v/>
      </c>
    </row>
    <row r="198" ht="12.75" customHeight="1" s="148">
      <c r="B198" s="213" t="inlineStr">
        <is>
          <t>(-) M&amp;A Fee</t>
        </is>
      </c>
      <c r="E198" s="227" t="n"/>
      <c r="F198" s="227" t="n"/>
      <c r="G198" s="227" t="n"/>
      <c r="H198" s="227" t="n"/>
      <c r="I198" s="227">
        <f>+-J12</f>
        <v/>
      </c>
      <c r="J198" s="266">
        <f>+I198/$I$202</f>
        <v/>
      </c>
    </row>
    <row r="199" ht="12.75" customHeight="1" s="148">
      <c r="B199" s="213" t="inlineStr">
        <is>
          <t>(-) Fin. Fee</t>
        </is>
      </c>
      <c r="E199" s="227" t="n"/>
      <c r="F199" s="227" t="n"/>
      <c r="G199" s="227" t="n"/>
      <c r="H199" s="227" t="n"/>
      <c r="I199" s="227">
        <f>+-J13</f>
        <v/>
      </c>
      <c r="J199" s="266">
        <f>+I199/$I$202</f>
        <v/>
      </c>
    </row>
    <row r="200" ht="12.75" customHeight="1" s="148">
      <c r="B200" s="233" t="inlineStr">
        <is>
          <t>Net Created Value (All)</t>
        </is>
      </c>
      <c r="C200" s="233" t="n"/>
      <c r="D200" s="233" t="n"/>
      <c r="E200" s="234" t="n"/>
      <c r="F200" s="234" t="n"/>
      <c r="G200" s="234" t="n"/>
      <c r="H200" s="234" t="n"/>
      <c r="I200" s="234">
        <f>SUM(I197:I199)</f>
        <v/>
      </c>
      <c r="J200" s="259">
        <f>SUM(J197:J199)</f>
        <v/>
      </c>
    </row>
    <row r="201" ht="12.75" customHeight="1" s="148">
      <c r="B201" s="213" t="inlineStr">
        <is>
          <t>Management Roll</t>
        </is>
      </c>
      <c r="E201" s="227" t="n"/>
      <c r="F201" s="227" t="n"/>
      <c r="G201" s="227" t="n"/>
      <c r="H201" s="227" t="n"/>
      <c r="I201" s="227">
        <f>+-I200*K158</f>
        <v/>
      </c>
      <c r="J201" s="266">
        <f>+I201/$I$202</f>
        <v/>
      </c>
    </row>
    <row r="202" ht="12.75" customHeight="1" s="148">
      <c r="B202" s="233" t="inlineStr">
        <is>
          <t>Sponsor Creation</t>
        </is>
      </c>
      <c r="C202" s="233" t="n"/>
      <c r="D202" s="233" t="n"/>
      <c r="E202" s="234" t="n"/>
      <c r="F202" s="234" t="n"/>
      <c r="G202" s="234" t="n"/>
      <c r="H202" s="234" t="n"/>
      <c r="I202" s="234">
        <f>SUM(I200:I201)</f>
        <v/>
      </c>
      <c r="J202" s="259">
        <f>SUM(J200:J201)</f>
        <v/>
      </c>
    </row>
    <row r="203" ht="12.75" customHeight="1" s="148">
      <c r="E203" s="227" t="n"/>
      <c r="F203" s="227" t="n"/>
      <c r="G203" s="227" t="n"/>
      <c r="H203" s="227" t="n"/>
      <c r="I203" s="227" t="n"/>
    </row>
    <row r="204" ht="12.75" customHeight="1" s="148">
      <c r="B204" s="213" t="inlineStr">
        <is>
          <t>Ending Equity (Calc)</t>
        </is>
      </c>
      <c r="E204" s="227" t="n"/>
      <c r="F204" s="227" t="n"/>
      <c r="G204" s="227" t="n"/>
      <c r="H204" s="227" t="n"/>
      <c r="I204" s="227">
        <f>+I190+I202</f>
        <v/>
      </c>
    </row>
    <row r="205" ht="12.75" customHeight="1" s="148">
      <c r="B205" s="213" t="inlineStr">
        <is>
          <t>Ending Equity (Link)</t>
        </is>
      </c>
      <c r="E205" s="227" t="n"/>
      <c r="F205" s="227" t="n"/>
      <c r="G205" s="227" t="n"/>
      <c r="H205" s="227" t="n"/>
      <c r="I205" s="227">
        <f>+J159</f>
        <v/>
      </c>
    </row>
    <row r="207" ht="12.75" customFormat="1" customHeight="1" s="283">
      <c r="A207" s="283" t="inlineStr">
        <is>
          <t>x</t>
        </is>
      </c>
      <c r="B207" s="283" t="inlineStr">
        <is>
          <t>Check</t>
        </is>
      </c>
      <c r="I207" s="284">
        <f>I204-I205</f>
        <v/>
      </c>
    </row>
  </sheetData>
  <mergeCells count="6">
    <mergeCell ref="B17:E17"/>
    <mergeCell ref="G10:J10"/>
    <mergeCell ref="D172:H172"/>
    <mergeCell ref="D180:H180"/>
    <mergeCell ref="B10:E10"/>
    <mergeCell ref="B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Mahterian</dc:creator>
  <dc:language xmlns:dc="http://purl.org/dc/elements/1.1/">en-US</dc:language>
  <dcterms:created xmlns:dcterms="http://purl.org/dc/terms/" xmlns:xsi="http://www.w3.org/2001/XMLSchema-instance" xsi:type="dcterms:W3CDTF">2019-07-25T03:27:10Z</dcterms:created>
  <dcterms:modified xmlns:dcterms="http://purl.org/dc/terms/" xmlns:xsi="http://www.w3.org/2001/XMLSchema-instance" xsi:type="dcterms:W3CDTF">2026-09-06T19:43:31Z</dcterms:modified>
  <cp:lastModifiedBy>Julia Mahterian</cp:lastModifiedBy>
  <cp:revision>0</cp:revision>
</cp:coreProperties>
</file>